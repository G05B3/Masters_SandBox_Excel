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Omen\Desktop\IST\"/>
    </mc:Choice>
  </mc:AlternateContent>
  <xr:revisionPtr revIDLastSave="0" documentId="13_ncr:1_{66D6EF95-B01C-4D29-B8AC-35B547F7F186}" xr6:coauthVersionLast="47" xr6:coauthVersionMax="47" xr10:uidLastSave="{00000000-0000-0000-0000-000000000000}"/>
  <bookViews>
    <workbookView xWindow="-108" yWindow="-108" windowWidth="23256" windowHeight="12576" xr2:uid="{670B631C-5F8A-49C7-B8A7-6DE4E5D78929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8" i="1" l="1"/>
  <c r="S8" i="1" s="1"/>
  <c r="W18" i="1"/>
  <c r="S5" i="1" s="1"/>
  <c r="S2" i="1"/>
  <c r="S11" i="1"/>
  <c r="R11" i="1" a="1"/>
  <c r="R5" i="1" a="1"/>
  <c r="R14" i="1" a="1"/>
  <c r="R2" i="1" a="1"/>
  <c r="R8" i="1" a="1"/>
  <c r="R8" i="1" l="1"/>
  <c r="R5" i="1"/>
  <c r="R11" i="1"/>
  <c r="R2" i="1"/>
  <c r="R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<sst xmlns="http://schemas.openxmlformats.org/spreadsheetml/2006/main" count="378" uniqueCount="248">
  <si>
    <t>Área:</t>
  </si>
  <si>
    <t>1º Ano</t>
  </si>
  <si>
    <t>1º Período</t>
  </si>
  <si>
    <t>2º Período</t>
  </si>
  <si>
    <t>3º Período</t>
  </si>
  <si>
    <t>4º Período</t>
  </si>
  <si>
    <t>Legenda:</t>
  </si>
  <si>
    <t>Área Principal</t>
  </si>
  <si>
    <t>Opções Livres</t>
  </si>
  <si>
    <t>Tronco Comum</t>
  </si>
  <si>
    <t>Empreendedorismo, Inovação e Transferência de Tecnologia (EITT)</t>
  </si>
  <si>
    <t>2º Ano</t>
  </si>
  <si>
    <t>3ECTS / Periodo</t>
  </si>
  <si>
    <t>6ECTS / Periodo</t>
  </si>
  <si>
    <t>Circuitos e Sistemas Electrónicos</t>
  </si>
  <si>
    <t>Controlo, Robótica e AI</t>
  </si>
  <si>
    <t>Energia</t>
  </si>
  <si>
    <t>Redes e Sistemas de Comunicação</t>
  </si>
  <si>
    <t>Tamanho Adequado da carga de ECTS por Período (15?)</t>
  </si>
  <si>
    <t>ECTS de Tronco Comum escolhidos:</t>
  </si>
  <si>
    <t>ECTS de Área Principal escolhidos:</t>
  </si>
  <si>
    <t>ECTS de Opções Livres escolhidos:</t>
  </si>
  <si>
    <t>Tese</t>
  </si>
  <si>
    <t>Projeto Integrador de 2º Ciclo (PIC2)</t>
  </si>
  <si>
    <t>UCs</t>
  </si>
  <si>
    <t>Optimização e Algoritmos (OA)</t>
  </si>
  <si>
    <t>Sistemas de Processamento Digital de Sinal (SPDSina)</t>
  </si>
  <si>
    <t>Circuitos de Ultra-Baixo Consumo (CUC)</t>
  </si>
  <si>
    <t>P1</t>
  </si>
  <si>
    <t>P2</t>
  </si>
  <si>
    <t>P3</t>
  </si>
  <si>
    <t>P4</t>
  </si>
  <si>
    <t>Nanotecnologias (N)</t>
  </si>
  <si>
    <t>Projecto de Sistemas Digitais (PSD)</t>
  </si>
  <si>
    <t>Sistemas de Tempo Real (STR)</t>
  </si>
  <si>
    <t>Sistemas de Medida de Grande Escala (SMGE)</t>
  </si>
  <si>
    <t>Tecnologias dos Sistemas de Computação (TSComp)</t>
  </si>
  <si>
    <t>Electrónica de Potência (EPot)</t>
  </si>
  <si>
    <t>Sistemas em Circuito Integrado (SCInt)</t>
  </si>
  <si>
    <t>Sistemas Integrados Analógicos e Mistos (SIAM)</t>
  </si>
  <si>
    <t>Redes Móveis e Internet das Coisas (RMIC)</t>
  </si>
  <si>
    <t>Microelectrónica (Micro)</t>
  </si>
  <si>
    <t>Sistemas Integrados de Radiofrequência (SIRad)</t>
  </si>
  <si>
    <t>Optoeletrónica (Opto)</t>
  </si>
  <si>
    <t>Controlo de Sistemas Ciberfísicos (CSCib)</t>
  </si>
  <si>
    <t>Inteligência Artificial e Sistemas de Decisão (IASD)</t>
  </si>
  <si>
    <t>Aprendizagem Automática (AAut)</t>
  </si>
  <si>
    <t>Processamento de Imagem e Visão (PIV)</t>
  </si>
  <si>
    <t>Programação de Sistemas (PSist)</t>
  </si>
  <si>
    <t>Robótica (Rob)</t>
  </si>
  <si>
    <t>Aprendizagem Profunda (AProf)</t>
  </si>
  <si>
    <t>Processamento Digital de Sinais (PDS)</t>
  </si>
  <si>
    <t>Controlo Multivariável, Não-Linear e Ótimo (CMN-O)</t>
  </si>
  <si>
    <t>Sistemas de Controlo Distribuído em Tempo Real (SCDTR)</t>
  </si>
  <si>
    <t>Estimação e Controlo Preditivo Distribuído (ECPD)</t>
  </si>
  <si>
    <t>Modelação e Automação de Processos Industriais (MAPI)</t>
  </si>
  <si>
    <t>Sistemas Autónomos (SAut)</t>
  </si>
  <si>
    <t>Processamento da Fala (PF)</t>
  </si>
  <si>
    <t>Processamento de Big Data (PBD)</t>
  </si>
  <si>
    <t>Sensores e Actuadores (SA)</t>
  </si>
  <si>
    <t>/ 30</t>
  </si>
  <si>
    <t>Arquitecturas para Computação de Elevado Desempenho (ACED)</t>
  </si>
  <si>
    <t>Gestão de Projetos de Engenharia (GPE)</t>
  </si>
  <si>
    <t>ECTS da Tese:</t>
  </si>
  <si>
    <t>Alta Tensão (AT)</t>
  </si>
  <si>
    <t>Produção e Consumo de Energia Eléctrica (PCEEle)</t>
  </si>
  <si>
    <t>Proteção de Sistemas de Energia (PESE)</t>
  </si>
  <si>
    <t>Eletrónica de Potência para Energia (EEner)</t>
  </si>
  <si>
    <t>Máquinas Eléctricas (MEle)</t>
  </si>
  <si>
    <t>Análise de Redes (ARed)</t>
  </si>
  <si>
    <t>Economia e Mercados de Energia (EMEne)</t>
  </si>
  <si>
    <t>Accionamentos e Veículos Eléctricos (AVE)</t>
  </si>
  <si>
    <t>Microredes Dc/Ac (Micror)</t>
  </si>
  <si>
    <t>Analítica de Dados para Redes Inteligentes (ADRI)</t>
  </si>
  <si>
    <t>Energias Renováveis e Produção Descentralizada (ERPD)</t>
  </si>
  <si>
    <t>Sistemas Elétricos Integrados de Tecnologia Solar Fotovoltaica (SEITSF)</t>
  </si>
  <si>
    <t>Controlo e Optimização de Sistemas de Energia (COSE)</t>
  </si>
  <si>
    <t>Regimes Transitórios em Redes (RTR)</t>
  </si>
  <si>
    <t>Algoritmia em Redes e Aplicações(ARA)</t>
  </si>
  <si>
    <t>Algoritmia em Redes e Aplicações (ARA)</t>
  </si>
  <si>
    <t>Conversores Comutados para Energias Renováveis (CCER)</t>
  </si>
  <si>
    <t>Conversão Electrónica e Armazenamento de Energia (SCC)</t>
  </si>
  <si>
    <t>Teoria da Informação e Comunicação (TIComu)</t>
  </si>
  <si>
    <t>Desempenho e Dimensionamento de Redes e Sistemas (DDRS)</t>
  </si>
  <si>
    <t>Transmissão Digital (TDig)</t>
  </si>
  <si>
    <t>Redes de Alto Débito (RADebit)</t>
  </si>
  <si>
    <t>Redes Veiculares (RV)</t>
  </si>
  <si>
    <t>Aplicações Distribuídas sobre a Internet (ADInt)</t>
  </si>
  <si>
    <t>Segurança das Comunicações (SComun)</t>
  </si>
  <si>
    <t>Sistemas de Navegação (SN)</t>
  </si>
  <si>
    <t>Sistemas de Informação e Bases de Dados (SIBD)</t>
  </si>
  <si>
    <t>Programação Orientada por Objectos (POO)</t>
  </si>
  <si>
    <t xml:space="preserve">As seguintes UC não funcionam em 2022/23: </t>
  </si>
  <si>
    <t>Arquitectura e Gestão de Redes (AGR)</t>
  </si>
  <si>
    <t>Sistemas Ciberfísicos</t>
  </si>
  <si>
    <t>Aplicações e Tecnologias Móveis (ATMov)</t>
  </si>
  <si>
    <t>Fundamentos de Redes Eléctricas Inteligentes (FREI)</t>
  </si>
  <si>
    <t>Computação Inteligente (Cinte)</t>
  </si>
  <si>
    <t>Radiopropagação para Comunicações e Sensores (RCSen)</t>
  </si>
  <si>
    <t>Tecnologias dos Sistemas de Computação (TSCom)</t>
  </si>
  <si>
    <t>Instalações e Edifícios Inteligentes (IEInt)</t>
  </si>
  <si>
    <t>Processamento de Big Data (PBDat)</t>
  </si>
  <si>
    <t>Sistemas de Computação</t>
  </si>
  <si>
    <t>Computação em Sistemas Paralelos e Heterogéneos (CSPH)</t>
  </si>
  <si>
    <t>Programação de Sistemas (PSis)</t>
  </si>
  <si>
    <t>Arquitecturas para Computação de Elevado Desempenho (ACEDes)</t>
  </si>
  <si>
    <t>Computação Paralela e Distribuída (CPD)</t>
  </si>
  <si>
    <t>Co-Projeto Hardware/Software (-HW)</t>
  </si>
  <si>
    <t>Telecomunicações</t>
  </si>
  <si>
    <t>Processamento Multimédia Baseado em Aprendizagem (PMBA)</t>
  </si>
  <si>
    <t>Nano-Fotónica       (N-F)</t>
  </si>
  <si>
    <t>Tecnologia e Projeto de Antenas (TPA)</t>
  </si>
  <si>
    <t>Sistemas de Telecomunicações Via Rádio (STVR)</t>
  </si>
  <si>
    <t>Sistemas de Comunicações Móveis (SCM)</t>
  </si>
  <si>
    <t>Sistemas de Comunicações Óticas (SCO)</t>
  </si>
  <si>
    <t>ECTS de Minor:</t>
  </si>
  <si>
    <t>Escolher UCS &gt;&gt;</t>
  </si>
  <si>
    <t>Enable Minors:</t>
  </si>
  <si>
    <t>Definições (1 = True, 0 = False)</t>
  </si>
  <si>
    <t>Minors &gt;&gt;</t>
  </si>
  <si>
    <t>&lt;&lt; Escolher Ucs</t>
  </si>
  <si>
    <t>&lt;&lt; Programa</t>
  </si>
  <si>
    <t>Descobertas da Física Moderna (DFM)</t>
  </si>
  <si>
    <t>Introdução à Mecânica Quântica (IMQ)</t>
  </si>
  <si>
    <t>Mecânica Quântica II (MQ-II)</t>
  </si>
  <si>
    <t>Relatividade (Rel)</t>
  </si>
  <si>
    <t>Astrofísica (Ast)</t>
  </si>
  <si>
    <t>Introdução à Física Nuclear e à Física de Partículas (IFNFP)</t>
  </si>
  <si>
    <t>Óptica e Lasers (OQL)</t>
  </si>
  <si>
    <t>Física Contemporânea (FC)</t>
  </si>
  <si>
    <t>Ciências e Tecnologias do Espaço (CTE)</t>
  </si>
  <si>
    <t>Mecânica Orbital (Sat)</t>
  </si>
  <si>
    <t>Física Espacial (SPhy)</t>
  </si>
  <si>
    <t>Astrobiologia (Astrob)</t>
  </si>
  <si>
    <t>Sistemas de Satélites e de Navegação (SSN)</t>
  </si>
  <si>
    <t>Engenharia de Satélites (ESat)</t>
  </si>
  <si>
    <t>Robótica Espacial e Sistemas de Controlo (RESC)</t>
  </si>
  <si>
    <t>Física Médica (FM)</t>
  </si>
  <si>
    <t>Dosimetria e Blindagem das Radiações (DBR)</t>
  </si>
  <si>
    <t>Sem. 1</t>
  </si>
  <si>
    <t>Sem. 2</t>
  </si>
  <si>
    <t>Tecnologias Nucleares e da Física de Partículas (TNFPar)</t>
  </si>
  <si>
    <t>Técnicas de Imagiologia Médica (TIMed)</t>
  </si>
  <si>
    <t>Efeitos Biológicos das Radiações (EBR)</t>
  </si>
  <si>
    <t>Técnicas de Terapia com Radiação (TTR)</t>
  </si>
  <si>
    <t>Introdução à Informação e Computação Quânticas (IICQ)</t>
  </si>
  <si>
    <t>Laboratório de Tecnologias Quânticas (LTQ)</t>
  </si>
  <si>
    <t>Mecânica Quântica I (MQ)</t>
  </si>
  <si>
    <t>Criptografia e Protocolos de Segurança (CPS)</t>
  </si>
  <si>
    <t>Projecto de Investigação em Ciência e Tecnologias Quânticas (PICTQ)</t>
  </si>
  <si>
    <t>Engenharia Humanitária (EH)</t>
  </si>
  <si>
    <t>Ciências e Tecnologias Quânticas (CTQ)</t>
  </si>
  <si>
    <t>Engenharia Humanitária (EHum)</t>
  </si>
  <si>
    <t>Projeto em Engenharia Humanitária (PEH)</t>
  </si>
  <si>
    <t>Valorização Energética de Resíduos (VER)</t>
  </si>
  <si>
    <t>Combustíveis Sustentáveis (CAlt)</t>
  </si>
  <si>
    <t>Saneamento (S)</t>
  </si>
  <si>
    <t>Produção de Electricidade Renovável (PER)</t>
  </si>
  <si>
    <t>Gestão de Sistemas de Energia (GSEne)</t>
  </si>
  <si>
    <t>Energias Renováveis (ERen)</t>
  </si>
  <si>
    <t>Energia Eólica (EEol)</t>
  </si>
  <si>
    <t>Hidroenergia (Hidroe)</t>
  </si>
  <si>
    <t>Aplicações de Engenharia e Ciência de Dados (AECD)</t>
  </si>
  <si>
    <t>Análise de Modelos Lineares (AML)</t>
  </si>
  <si>
    <t>Análise e Integração de Dados (GTI)</t>
  </si>
  <si>
    <t>Engenharia e Ciência de Dados</t>
  </si>
  <si>
    <t>Análise Multivariada (AM)</t>
  </si>
  <si>
    <t>Análise Numérica Funcional e Optimização (ANFO)</t>
  </si>
  <si>
    <t>Biologia Computacional (BC)</t>
  </si>
  <si>
    <t>Computabilidade e Complexidade (CC)</t>
  </si>
  <si>
    <t>Comunicação Multimédia (CM)</t>
  </si>
  <si>
    <t>Estatística Computacional (EC)</t>
  </si>
  <si>
    <t>Estatística Matemática (EM)</t>
  </si>
  <si>
    <t>Geoestatística (G)</t>
  </si>
  <si>
    <t>Gestão Logística e de Operações (GLO)</t>
  </si>
  <si>
    <t>Introdução à Matemática Financeira (IMF)</t>
  </si>
  <si>
    <t>Língua Natural (LN)</t>
  </si>
  <si>
    <t>Métodos Estatísticos em Data Mining (MEDM)</t>
  </si>
  <si>
    <t>Modelos de Apoio à Decisão (MAD)</t>
  </si>
  <si>
    <t>Visualização de Informação (VI)</t>
  </si>
  <si>
    <t>Minor</t>
  </si>
  <si>
    <t>Enable Third Year:</t>
  </si>
  <si>
    <t>Enable Dark Mode:</t>
  </si>
  <si>
    <t>Automação do Projeto Electrónico</t>
  </si>
  <si>
    <t>Redes Programáveis</t>
  </si>
  <si>
    <t>Filtros Analógicos e Digitais</t>
  </si>
  <si>
    <t>Comunicação Multimédia</t>
  </si>
  <si>
    <t>3º Ano</t>
  </si>
  <si>
    <t>Técnicas Biológicas (TB)</t>
  </si>
  <si>
    <t>Introdução às Ciências Biológicas (ICB)</t>
  </si>
  <si>
    <t>Biotecnologia Molecular (BMol)</t>
  </si>
  <si>
    <t>Fábricas Celulares Microbianas (FCM)</t>
  </si>
  <si>
    <t>Genómica Funcional e Bioinformática (GFB)</t>
  </si>
  <si>
    <t>Instruções</t>
  </si>
  <si>
    <r>
      <t xml:space="preserve">Notem que </t>
    </r>
    <r>
      <rPr>
        <b/>
        <sz val="11"/>
        <color theme="0"/>
        <rFont val="Calibri"/>
        <family val="2"/>
        <scheme val="minor"/>
      </rPr>
      <t>para arrastar uma célula é preciso colocar o cursor na borda da mesma</t>
    </r>
    <r>
      <rPr>
        <sz val="11"/>
        <color theme="0"/>
        <rFont val="Calibri"/>
        <family val="2"/>
        <scheme val="minor"/>
      </rPr>
      <t xml:space="preserve"> (tem de aparecer o símbolo circundado a vermelho na figura acima)</t>
    </r>
  </si>
  <si>
    <t>Ambientes Extremos (AE)</t>
  </si>
  <si>
    <t>Armazenamento de Energia (AEne)</t>
  </si>
  <si>
    <t>Energy for the Future (EF)</t>
  </si>
  <si>
    <t>Detecção Remota (DR)</t>
  </si>
  <si>
    <t>Pelo que percebi, estas UCs podem ser frequentadas em qualquer semestre.</t>
  </si>
  <si>
    <t>Ambientes Extremos na Terra e no Espaço (AETE)</t>
  </si>
  <si>
    <t>Técnicas e Metodologias de Amostragem em Ambientes Extremos (TMAAE)</t>
  </si>
  <si>
    <t>Informática (I)</t>
  </si>
  <si>
    <t>Desenho de Algoritmos Usando Python (DAUP)</t>
  </si>
  <si>
    <t>Engenharia dos Sistemas Computacionais (ESC)</t>
  </si>
  <si>
    <t>Programação para Ciência de Dados (PCDad)</t>
  </si>
  <si>
    <t>Inteligência Artificial (IArt)</t>
  </si>
  <si>
    <r>
      <t xml:space="preserve">Por fim, quero avisar que este excel só é capaz de construir programas de mestrado de qualquer uma das 7 áreas de MEEC, assim como Ciência de Dados. Também não coloquei todos os minors disponíveis devido ao facto de serem </t>
    </r>
    <r>
      <rPr>
        <b/>
        <sz val="10"/>
        <color theme="0"/>
        <rFont val="Calibri"/>
        <family val="2"/>
        <scheme val="minor"/>
      </rPr>
      <t>IMENSAS</t>
    </r>
    <r>
      <rPr>
        <sz val="10"/>
        <color theme="0"/>
        <rFont val="Calibri"/>
        <family val="2"/>
        <scheme val="minor"/>
      </rPr>
      <t xml:space="preserve"> as opções disponíveis. Contudo se quiserem que coloque o vosso minor de preferência estejam à vontade para me contactar.</t>
    </r>
  </si>
  <si>
    <t>Feito por: Martim Bento, nº 100031</t>
  </si>
  <si>
    <t>Redes Programáveis (RP)</t>
  </si>
  <si>
    <r>
      <t xml:space="preserve">A construção do programa de mestrado é feita via </t>
    </r>
    <r>
      <rPr>
        <b/>
        <sz val="12"/>
        <color theme="0"/>
        <rFont val="Bahnschrift Light SemiCondensed"/>
        <family val="2"/>
      </rPr>
      <t>"Drag&amp;Drop"</t>
    </r>
    <r>
      <rPr>
        <sz val="12"/>
        <color theme="0"/>
        <rFont val="Bahnschrift Light SemiCondensed"/>
        <family val="2"/>
      </rPr>
      <t>, isto é, arrastando as células correspondentes às UCs que vos interessem para o calendário.</t>
    </r>
  </si>
  <si>
    <t>Quanto ao problema das Macros (click me)</t>
  </si>
  <si>
    <t>Administração de Dados e Sistemas de Informação (AOBD)</t>
  </si>
  <si>
    <t>Algoritmos Avançados (AAva)</t>
  </si>
  <si>
    <t>Planeamento, Aprendizagem e Decisão Inteligente (ADI)</t>
  </si>
  <si>
    <t>Computação em Nuvem e Virtualização (AVExe)</t>
  </si>
  <si>
    <t>Integração Empresarial (SEI)</t>
  </si>
  <si>
    <t>Séries Temporais (STemp)</t>
  </si>
  <si>
    <t>Bioestatística (Bioes)</t>
  </si>
  <si>
    <t>Estatística Bayesiana Aplicada (EBA)</t>
  </si>
  <si>
    <t>Introdução aos Processos Estocásticos (IPEst)</t>
  </si>
  <si>
    <t>Matemática para Aprendizagem Automática (MAAut)</t>
  </si>
  <si>
    <t>Métodos Computacionais em Finanças (MCF)</t>
  </si>
  <si>
    <t>Masters in Data Science:</t>
  </si>
  <si>
    <t>Ciência de Dados (CD)</t>
  </si>
  <si>
    <t>Gestão Industrial e de Sistemas (GIS)</t>
  </si>
  <si>
    <t>Engenharia e Tecnologia de Processos de Negócio (ETPN)</t>
  </si>
  <si>
    <t>Modelação e Optimização de Sistemas (MOSis)</t>
  </si>
  <si>
    <t>NÃO MEXER NESTAS  8 CÉLULAS</t>
  </si>
  <si>
    <t>Ciências Nucleares Aplicadas (CNA)</t>
  </si>
  <si>
    <t>Sistemas e Técnicas de Detecção de Radiação (STDR)</t>
  </si>
  <si>
    <t>Radioquímica (Rad)</t>
  </si>
  <si>
    <t>Efeitos da Radiação (ERadia)</t>
  </si>
  <si>
    <t>Radioactividade Ambiente (RAmbie)</t>
  </si>
  <si>
    <t>Técnicas Nucleares (TNuc)</t>
  </si>
  <si>
    <t>Big Picture Thinking para a Sustentabilidade (BPTS)</t>
  </si>
  <si>
    <t>Modelação Ambiental (MAmb)</t>
  </si>
  <si>
    <t>Desenvolvimento Sustentável - Fundamentos Quantitativos (DSFQ)</t>
  </si>
  <si>
    <t>Ecologia Industrial (EI)</t>
  </si>
  <si>
    <t>Modelação e Simulação (MSim)</t>
  </si>
  <si>
    <t>Grande História e Sustentabilidade (GHS)</t>
  </si>
  <si>
    <t>Técnicas Fotónicas (TF)</t>
  </si>
  <si>
    <t>Fundamentos de Biossinais e Imagiologia Biomédica (FBIB)</t>
  </si>
  <si>
    <t>Óptica Aplicada (OAplica)</t>
  </si>
  <si>
    <t>Imagiologia Médica (IMedi)</t>
  </si>
  <si>
    <t>Sandbox de Programa de Mestrado</t>
  </si>
  <si>
    <r>
      <t xml:space="preserve">A tabela entre as colunas P e S conta automaticamente o número de ECTS já selecionados de cada área, à medida que vão construindo o vosso programa. Para aqueles que quiserem frequentar um Minor, o Mestrado em Ciência de Dados e/ou preparar um programa de mestrado que dure três anos, é necessário alterar a opção respetiva nas definições (blocos azuis abaixo dos contadores de ECTS) para </t>
    </r>
    <r>
      <rPr>
        <b/>
        <sz val="11"/>
        <color theme="0"/>
        <rFont val="Calibri"/>
        <family val="2"/>
        <scheme val="minor"/>
      </rPr>
      <t>1</t>
    </r>
    <r>
      <rPr>
        <sz val="11"/>
        <color theme="0"/>
        <rFont val="Calibri"/>
        <family val="2"/>
        <scheme val="minor"/>
      </rPr>
      <t>.</t>
    </r>
  </si>
  <si>
    <t>Special thanks to: Henrique Pocinho, Rui Oliveira e Tiago Brogueira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</si>
</sst>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sz val="12"/>
      <color theme="0"/>
      <name val="Bahnschrift Light SemiCondensed"/>
      <family val="2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Bahnschrift Light SemiCondensed"/>
      <family val="2"/>
    </font>
    <font>
      <u/>
      <sz val="11"/>
      <color theme="10"/>
      <name val="Calibri"/>
      <family val="2"/>
      <scheme val="minor"/>
    </font>
    <font>
      <u/>
      <sz val="11"/>
      <color rgb="FF00FFFF"/>
      <name val="Calibri"/>
      <family val="2"/>
      <scheme val="minor"/>
    </font>
    <font>
      <b/>
      <sz val="12"/>
      <color theme="0"/>
      <name val="Bahnschrift Light SemiCondensed"/>
      <family val="2"/>
    </font>
    <font>
      <sz val="12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2"/>
      <color theme="0"/>
      <name val="Hadassah Friedlaender"/>
      <family val="1"/>
    </font>
    <font>
      <u/>
      <sz val="12"/>
      <color theme="0"/>
      <name val="Bahnschrift SemiBold"/>
      <family val="2"/>
    </font>
    <font>
      <u/>
      <sz val="16"/>
      <color theme="0"/>
      <name val="Century"/>
      <family val="1"/>
    </font>
  </fonts>
  <fills count="5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8394FD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5F9"/>
        <bgColor indexed="64"/>
      </patternFill>
    </fill>
    <fill>
      <patternFill patternType="solid">
        <fgColor rgb="FFFDF2A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6FFB3"/>
        <bgColor indexed="64"/>
      </patternFill>
    </fill>
    <fill>
      <patternFill patternType="solid">
        <fgColor rgb="FFF9E341"/>
        <bgColor indexed="64"/>
      </patternFill>
    </fill>
    <fill>
      <patternFill patternType="solid">
        <fgColor rgb="FF82BAF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E49FFF"/>
        <bgColor indexed="64"/>
      </patternFill>
    </fill>
    <fill>
      <patternFill patternType="solid">
        <fgColor rgb="FFC3FB37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45369C"/>
        <bgColor indexed="64"/>
      </patternFill>
    </fill>
    <fill>
      <patternFill patternType="solid">
        <fgColor rgb="FF06EC58"/>
        <bgColor indexed="64"/>
      </patternFill>
    </fill>
    <fill>
      <patternFill patternType="solid">
        <fgColor rgb="FF5BD4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EC6C6"/>
        <bgColor indexed="64"/>
      </patternFill>
    </fill>
    <fill>
      <patternFill patternType="solid">
        <fgColor rgb="FF141672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7575FF"/>
        <bgColor indexed="64"/>
      </patternFill>
    </fill>
    <fill>
      <patternFill patternType="solid">
        <fgColor rgb="FF5353FF"/>
        <bgColor indexed="64"/>
      </patternFill>
    </fill>
    <fill>
      <patternFill patternType="solid">
        <fgColor rgb="FFFD8787"/>
        <bgColor indexed="64"/>
      </patternFill>
    </fill>
    <fill>
      <patternFill patternType="solid">
        <fgColor rgb="FFC64302"/>
        <bgColor indexed="64"/>
      </patternFill>
    </fill>
    <fill>
      <patternFill patternType="solid">
        <fgColor rgb="FF1A1D9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C9CFA"/>
        <bgColor indexed="64"/>
      </patternFill>
    </fill>
    <fill>
      <patternFill patternType="solid">
        <fgColor rgb="FFF955BB"/>
        <bgColor indexed="64"/>
      </patternFill>
    </fill>
    <fill>
      <patternFill patternType="solid">
        <fgColor rgb="FF13F981"/>
        <bgColor indexed="64"/>
      </patternFill>
    </fill>
    <fill>
      <patternFill patternType="solid">
        <fgColor rgb="FFFDEDBB"/>
        <bgColor indexed="64"/>
      </patternFill>
    </fill>
    <fill>
      <patternFill patternType="solid">
        <fgColor rgb="FFC5F612"/>
        <bgColor indexed="64"/>
      </patternFill>
    </fill>
    <fill>
      <patternFill patternType="solid">
        <fgColor rgb="FF39EE00"/>
        <bgColor indexed="64"/>
      </patternFill>
    </fill>
    <fill>
      <patternFill patternType="solid">
        <fgColor rgb="FFA17CFC"/>
        <bgColor indexed="64"/>
      </patternFill>
    </fill>
    <fill>
      <patternFill patternType="solid">
        <fgColor rgb="FF568501"/>
        <bgColor indexed="64"/>
      </patternFill>
    </fill>
    <fill>
      <patternFill patternType="solid">
        <fgColor rgb="FF9E008F"/>
        <bgColor indexed="64"/>
      </patternFill>
    </fill>
    <fill>
      <patternFill patternType="solid">
        <fgColor rgb="FFFC5252"/>
        <bgColor indexed="64"/>
      </patternFill>
    </fill>
    <fill>
      <patternFill patternType="solid">
        <fgColor rgb="FF628802"/>
        <bgColor indexed="64"/>
      </patternFill>
    </fill>
    <fill>
      <patternFill patternType="solid">
        <fgColor rgb="FF943C06"/>
        <bgColor indexed="64"/>
      </patternFill>
    </fill>
    <fill>
      <patternFill patternType="solid">
        <fgColor rgb="FFFAB334"/>
        <bgColor indexed="64"/>
      </patternFill>
    </fill>
    <fill>
      <patternFill patternType="solid">
        <fgColor rgb="FF9FCDFF"/>
        <bgColor indexed="64"/>
      </patternFill>
    </fill>
    <fill>
      <patternFill patternType="solid">
        <fgColor rgb="FF7AE8FA"/>
        <bgColor indexed="64"/>
      </patternFill>
    </fill>
    <fill>
      <patternFill patternType="solid">
        <fgColor rgb="FF6379FD"/>
        <bgColor indexed="64"/>
      </patternFill>
    </fill>
    <fill>
      <patternFill patternType="solid">
        <fgColor rgb="FF83B3A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B47E7"/>
        <bgColor indexed="64"/>
      </patternFill>
    </fill>
    <fill>
      <patternFill patternType="solid">
        <fgColor rgb="FFCEF68E"/>
        <bgColor indexed="64"/>
      </patternFill>
    </fill>
    <fill>
      <patternFill patternType="solid">
        <fgColor rgb="FFF4EE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95">
    <xf numFmtId="0" fontId="0" fillId="0" borderId="0" xfId="0"/>
    <xf numFmtId="0" fontId="0" fillId="7" borderId="1" xfId="0" applyFill="1" applyBorder="1"/>
    <xf numFmtId="0" fontId="0" fillId="7" borderId="13" xfId="0" applyFill="1" applyBorder="1"/>
    <xf numFmtId="0" fontId="0" fillId="14" borderId="7" xfId="0" applyFill="1" applyBorder="1"/>
    <xf numFmtId="0" fontId="0" fillId="14" borderId="11" xfId="0" applyFill="1" applyBorder="1"/>
    <xf numFmtId="0" fontId="0" fillId="14" borderId="8" xfId="0" applyFill="1" applyBorder="1"/>
    <xf numFmtId="0" fontId="0" fillId="14" borderId="0" xfId="0" applyFill="1"/>
    <xf numFmtId="0" fontId="0" fillId="14" borderId="4" xfId="0" applyFill="1" applyBorder="1"/>
    <xf numFmtId="0" fontId="0" fillId="14" borderId="9" xfId="0" applyFill="1" applyBorder="1"/>
    <xf numFmtId="0" fontId="0" fillId="14" borderId="5" xfId="0" applyFill="1" applyBorder="1"/>
    <xf numFmtId="0" fontId="0" fillId="14" borderId="0" xfId="0" applyFill="1" applyBorder="1"/>
    <xf numFmtId="0" fontId="0" fillId="14" borderId="10" xfId="0" applyFill="1" applyBorder="1"/>
    <xf numFmtId="0" fontId="0" fillId="19" borderId="6" xfId="0" applyFill="1" applyBorder="1"/>
    <xf numFmtId="0" fontId="0" fillId="19" borderId="5" xfId="0" applyFill="1" applyBorder="1"/>
    <xf numFmtId="0" fontId="0" fillId="19" borderId="7" xfId="0" applyFill="1" applyBorder="1"/>
    <xf numFmtId="0" fontId="0" fillId="19" borderId="4" xfId="0" applyFill="1" applyBorder="1"/>
    <xf numFmtId="0" fontId="0" fillId="19" borderId="8" xfId="0" applyFill="1" applyBorder="1"/>
    <xf numFmtId="0" fontId="0" fillId="19" borderId="9" xfId="0" applyFill="1" applyBorder="1"/>
    <xf numFmtId="0" fontId="0" fillId="19" borderId="10" xfId="0" applyFill="1" applyBorder="1"/>
    <xf numFmtId="0" fontId="0" fillId="19" borderId="11" xfId="0" applyFill="1" applyBorder="1"/>
    <xf numFmtId="0" fontId="0" fillId="19" borderId="0" xfId="0" applyFill="1" applyBorder="1"/>
    <xf numFmtId="0" fontId="2" fillId="21" borderId="6" xfId="0" applyFont="1" applyFill="1" applyBorder="1" applyAlignment="1">
      <alignment vertical="top" wrapText="1"/>
    </xf>
    <xf numFmtId="0" fontId="0" fillId="14" borderId="6" xfId="0" applyFill="1" applyBorder="1"/>
    <xf numFmtId="0" fontId="2" fillId="24" borderId="2" xfId="0" applyFont="1" applyFill="1" applyBorder="1" applyAlignment="1">
      <alignment horizontal="center" wrapText="1"/>
    </xf>
    <xf numFmtId="0" fontId="2" fillId="24" borderId="3" xfId="0" applyFont="1" applyFill="1" applyBorder="1" applyAlignment="1">
      <alignment horizontal="center" wrapText="1"/>
    </xf>
    <xf numFmtId="0" fontId="2" fillId="21" borderId="4" xfId="0" applyFont="1" applyFill="1" applyBorder="1" applyAlignment="1">
      <alignment vertical="top" wrapText="1"/>
    </xf>
    <xf numFmtId="0" fontId="2" fillId="21" borderId="8" xfId="0" applyFont="1" applyFill="1" applyBorder="1" applyAlignment="1">
      <alignment vertical="top" wrapText="1"/>
    </xf>
    <xf numFmtId="0" fontId="2" fillId="21" borderId="9" xfId="0" applyFont="1" applyFill="1" applyBorder="1" applyAlignment="1">
      <alignment vertical="top" wrapText="1"/>
    </xf>
    <xf numFmtId="0" fontId="2" fillId="21" borderId="11" xfId="0" applyFont="1" applyFill="1" applyBorder="1" applyAlignment="1">
      <alignment vertical="top" wrapText="1"/>
    </xf>
    <xf numFmtId="0" fontId="2" fillId="21" borderId="7" xfId="0" applyFont="1" applyFill="1" applyBorder="1" applyAlignment="1">
      <alignment vertical="top" wrapText="1"/>
    </xf>
    <xf numFmtId="0" fontId="0" fillId="30" borderId="6" xfId="0" applyFill="1" applyBorder="1"/>
    <xf numFmtId="0" fontId="0" fillId="30" borderId="5" xfId="0" applyFill="1" applyBorder="1"/>
    <xf numFmtId="0" fontId="0" fillId="30" borderId="7" xfId="0" applyFill="1" applyBorder="1"/>
    <xf numFmtId="0" fontId="0" fillId="30" borderId="4" xfId="0" applyFill="1" applyBorder="1"/>
    <xf numFmtId="0" fontId="0" fillId="30" borderId="0" xfId="0" applyFill="1" applyBorder="1"/>
    <xf numFmtId="0" fontId="0" fillId="30" borderId="8" xfId="0" applyFill="1" applyBorder="1"/>
    <xf numFmtId="0" fontId="0" fillId="30" borderId="9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14" borderId="21" xfId="0" applyFill="1" applyBorder="1"/>
    <xf numFmtId="0" fontId="0" fillId="14" borderId="22" xfId="0" applyFill="1" applyBorder="1"/>
    <xf numFmtId="0" fontId="0" fillId="14" borderId="0" xfId="0" applyFont="1" applyFill="1" applyBorder="1"/>
    <xf numFmtId="0" fontId="14" fillId="38" borderId="21" xfId="0" applyFont="1" applyFill="1" applyBorder="1" applyAlignment="1">
      <alignment vertical="center" wrapText="1"/>
    </xf>
    <xf numFmtId="0" fontId="14" fillId="38" borderId="0" xfId="0" applyFont="1" applyFill="1" applyBorder="1" applyAlignment="1">
      <alignment vertical="center" wrapText="1"/>
    </xf>
    <xf numFmtId="0" fontId="14" fillId="38" borderId="22" xfId="0" applyFont="1" applyFill="1" applyBorder="1" applyAlignment="1">
      <alignment vertical="center" wrapText="1"/>
    </xf>
    <xf numFmtId="0" fontId="0" fillId="0" borderId="21" xfId="0" applyBorder="1"/>
    <xf numFmtId="0" fontId="0" fillId="0" borderId="0" xfId="0" applyBorder="1"/>
    <xf numFmtId="0" fontId="0" fillId="0" borderId="22" xfId="0" applyBorder="1"/>
    <xf numFmtId="0" fontId="18" fillId="14" borderId="0" xfId="0" applyFont="1" applyFill="1" applyBorder="1"/>
    <xf numFmtId="0" fontId="19" fillId="48" borderId="9" xfId="0" applyFont="1" applyFill="1" applyBorder="1"/>
    <xf numFmtId="0" fontId="19" fillId="48" borderId="10" xfId="0" applyFont="1" applyFill="1" applyBorder="1"/>
    <xf numFmtId="0" fontId="19" fillId="48" borderId="11" xfId="0" applyFont="1" applyFill="1" applyBorder="1"/>
    <xf numFmtId="0" fontId="0" fillId="20" borderId="6" xfId="0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0" fillId="20" borderId="8" xfId="0" applyFill="1" applyBorder="1" applyAlignment="1">
      <alignment horizontal="center" vertical="center" wrapText="1"/>
    </xf>
    <xf numFmtId="0" fontId="0" fillId="20" borderId="9" xfId="0" applyFill="1" applyBorder="1" applyAlignment="1">
      <alignment horizontal="center" vertical="center" wrapText="1"/>
    </xf>
    <xf numFmtId="0" fontId="0" fillId="20" borderId="11" xfId="0" applyFill="1" applyBorder="1" applyAlignment="1">
      <alignment horizontal="center" vertical="center" wrapText="1"/>
    </xf>
    <xf numFmtId="0" fontId="7" fillId="20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7" xfId="0" applyFont="1" applyFill="1" applyBorder="1" applyAlignment="1">
      <alignment horizontal="center" vertical="center"/>
    </xf>
    <xf numFmtId="0" fontId="7" fillId="20" borderId="9" xfId="0" applyFont="1" applyFill="1" applyBorder="1" applyAlignment="1">
      <alignment horizontal="center" vertical="center"/>
    </xf>
    <xf numFmtId="0" fontId="7" fillId="20" borderId="10" xfId="0" applyFont="1" applyFill="1" applyBorder="1" applyAlignment="1">
      <alignment horizontal="center" vertical="center"/>
    </xf>
    <xf numFmtId="0" fontId="7" fillId="20" borderId="11" xfId="0" applyFont="1" applyFill="1" applyBorder="1" applyAlignment="1">
      <alignment horizontal="center" vertical="center"/>
    </xf>
    <xf numFmtId="0" fontId="6" fillId="20" borderId="6" xfId="0" applyFont="1" applyFill="1" applyBorder="1" applyAlignment="1">
      <alignment horizontal="center" vertical="center" wrapText="1"/>
    </xf>
    <xf numFmtId="0" fontId="6" fillId="20" borderId="7" xfId="0" applyFont="1" applyFill="1" applyBorder="1" applyAlignment="1">
      <alignment horizontal="center" vertical="center" wrapText="1"/>
    </xf>
    <xf numFmtId="0" fontId="6" fillId="20" borderId="4" xfId="0" applyFont="1" applyFill="1" applyBorder="1" applyAlignment="1">
      <alignment horizontal="center" vertical="center" wrapText="1"/>
    </xf>
    <xf numFmtId="0" fontId="6" fillId="20" borderId="8" xfId="0" applyFont="1" applyFill="1" applyBorder="1" applyAlignment="1">
      <alignment horizontal="center" vertical="center" wrapText="1"/>
    </xf>
    <xf numFmtId="0" fontId="6" fillId="20" borderId="9" xfId="0" applyFont="1" applyFill="1" applyBorder="1" applyAlignment="1">
      <alignment horizontal="center" vertical="center" wrapText="1"/>
    </xf>
    <xf numFmtId="0" fontId="6" fillId="20" borderId="11" xfId="0" applyFont="1" applyFill="1" applyBorder="1" applyAlignment="1">
      <alignment horizontal="center" vertical="center" wrapText="1"/>
    </xf>
    <xf numFmtId="0" fontId="5" fillId="20" borderId="6" xfId="0" applyFont="1" applyFill="1" applyBorder="1" applyAlignment="1">
      <alignment horizontal="center" vertical="center" wrapText="1"/>
    </xf>
    <xf numFmtId="0" fontId="5" fillId="20" borderId="7" xfId="0" applyFont="1" applyFill="1" applyBorder="1" applyAlignment="1">
      <alignment horizontal="center" vertical="center" wrapText="1"/>
    </xf>
    <xf numFmtId="0" fontId="5" fillId="20" borderId="4" xfId="0" applyFont="1" applyFill="1" applyBorder="1" applyAlignment="1">
      <alignment horizontal="center" vertical="center" wrapText="1"/>
    </xf>
    <xf numFmtId="0" fontId="5" fillId="20" borderId="8" xfId="0" applyFont="1" applyFill="1" applyBorder="1" applyAlignment="1">
      <alignment horizontal="center" vertical="center" wrapText="1"/>
    </xf>
    <xf numFmtId="0" fontId="5" fillId="20" borderId="9" xfId="0" applyFont="1" applyFill="1" applyBorder="1" applyAlignment="1">
      <alignment horizontal="center" vertical="center" wrapText="1"/>
    </xf>
    <xf numFmtId="0" fontId="5" fillId="20" borderId="11" xfId="0" applyFont="1" applyFill="1" applyBorder="1" applyAlignment="1">
      <alignment horizontal="center" vertical="center" wrapText="1"/>
    </xf>
    <xf numFmtId="0" fontId="10" fillId="38" borderId="20" xfId="0" applyFont="1" applyFill="1" applyBorder="1" applyAlignment="1">
      <alignment horizontal="center" vertical="center" wrapText="1"/>
    </xf>
    <xf numFmtId="0" fontId="10" fillId="38" borderId="15" xfId="0" applyFont="1" applyFill="1" applyBorder="1" applyAlignment="1">
      <alignment horizontal="center" vertical="center" wrapText="1"/>
    </xf>
    <xf numFmtId="0" fontId="10" fillId="38" borderId="16" xfId="0" applyFont="1" applyFill="1" applyBorder="1" applyAlignment="1">
      <alignment horizontal="center" vertical="center" wrapText="1"/>
    </xf>
    <xf numFmtId="0" fontId="10" fillId="38" borderId="21" xfId="0" applyFont="1" applyFill="1" applyBorder="1" applyAlignment="1">
      <alignment horizontal="center" vertical="center" wrapText="1"/>
    </xf>
    <xf numFmtId="0" fontId="10" fillId="38" borderId="0" xfId="0" applyFont="1" applyFill="1" applyBorder="1" applyAlignment="1">
      <alignment horizontal="center" vertical="center" wrapText="1"/>
    </xf>
    <xf numFmtId="0" fontId="10" fillId="38" borderId="22" xfId="0" applyFont="1" applyFill="1" applyBorder="1" applyAlignment="1">
      <alignment horizontal="center" vertical="center" wrapText="1"/>
    </xf>
    <xf numFmtId="0" fontId="10" fillId="38" borderId="23" xfId="0" applyFont="1" applyFill="1" applyBorder="1" applyAlignment="1">
      <alignment horizontal="center" vertical="center" wrapText="1"/>
    </xf>
    <xf numFmtId="0" fontId="10" fillId="38" borderId="17" xfId="0" applyFont="1" applyFill="1" applyBorder="1" applyAlignment="1">
      <alignment horizontal="center" vertical="center" wrapText="1"/>
    </xf>
    <xf numFmtId="0" fontId="10" fillId="38" borderId="18" xfId="0" applyFont="1" applyFill="1" applyBorder="1" applyAlignment="1">
      <alignment horizontal="center" vertical="center" wrapText="1"/>
    </xf>
    <xf numFmtId="0" fontId="13" fillId="46" borderId="20" xfId="0" applyFont="1" applyFill="1" applyBorder="1" applyAlignment="1">
      <alignment horizontal="center" vertical="center" wrapText="1"/>
    </xf>
    <xf numFmtId="0" fontId="13" fillId="46" borderId="15" xfId="0" applyFont="1" applyFill="1" applyBorder="1" applyAlignment="1">
      <alignment horizontal="center" vertical="center" wrapText="1"/>
    </xf>
    <xf numFmtId="0" fontId="13" fillId="46" borderId="16" xfId="0" applyFont="1" applyFill="1" applyBorder="1" applyAlignment="1">
      <alignment horizontal="center" vertical="center" wrapText="1"/>
    </xf>
    <xf numFmtId="0" fontId="13" fillId="46" borderId="23" xfId="0" applyFont="1" applyFill="1" applyBorder="1" applyAlignment="1">
      <alignment horizontal="center" vertical="center" wrapText="1"/>
    </xf>
    <xf numFmtId="0" fontId="13" fillId="46" borderId="17" xfId="0" applyFont="1" applyFill="1" applyBorder="1" applyAlignment="1">
      <alignment horizontal="center" vertical="center" wrapText="1"/>
    </xf>
    <xf numFmtId="0" fontId="13" fillId="46" borderId="18" xfId="0" applyFont="1" applyFill="1" applyBorder="1" applyAlignment="1">
      <alignment horizontal="center" vertical="center" wrapText="1"/>
    </xf>
    <xf numFmtId="0" fontId="16" fillId="38" borderId="20" xfId="1" applyFont="1" applyFill="1" applyBorder="1" applyAlignment="1">
      <alignment horizontal="center" vertical="center" wrapText="1"/>
    </xf>
    <xf numFmtId="0" fontId="16" fillId="38" borderId="15" xfId="1" applyFont="1" applyFill="1" applyBorder="1" applyAlignment="1">
      <alignment horizontal="center" vertical="center" wrapText="1"/>
    </xf>
    <xf numFmtId="0" fontId="16" fillId="38" borderId="16" xfId="1" applyFont="1" applyFill="1" applyBorder="1" applyAlignment="1">
      <alignment horizontal="center" vertical="center" wrapText="1"/>
    </xf>
    <xf numFmtId="0" fontId="16" fillId="38" borderId="23" xfId="1" applyFont="1" applyFill="1" applyBorder="1" applyAlignment="1">
      <alignment horizontal="center" vertical="center" wrapText="1"/>
    </xf>
    <xf numFmtId="0" fontId="16" fillId="38" borderId="17" xfId="1" applyFont="1" applyFill="1" applyBorder="1" applyAlignment="1">
      <alignment horizontal="center" vertical="center" wrapText="1"/>
    </xf>
    <xf numFmtId="0" fontId="16" fillId="38" borderId="18" xfId="1" applyFont="1" applyFill="1" applyBorder="1" applyAlignment="1">
      <alignment horizontal="center" vertical="center" wrapText="1"/>
    </xf>
    <xf numFmtId="0" fontId="0" fillId="20" borderId="5" xfId="0" applyFill="1" applyBorder="1" applyAlignment="1">
      <alignment horizontal="center" vertical="center" wrapText="1"/>
    </xf>
    <xf numFmtId="0" fontId="0" fillId="20" borderId="10" xfId="0" applyFill="1" applyBorder="1" applyAlignment="1">
      <alignment horizontal="center" vertical="center" wrapText="1"/>
    </xf>
    <xf numFmtId="0" fontId="5" fillId="20" borderId="5" xfId="0" applyFont="1" applyFill="1" applyBorder="1" applyAlignment="1">
      <alignment horizontal="center" vertical="center" wrapText="1"/>
    </xf>
    <xf numFmtId="0" fontId="5" fillId="20" borderId="10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3" borderId="6" xfId="0" applyFill="1" applyBorder="1" applyAlignment="1">
      <alignment horizontal="center" vertical="center" wrapText="1"/>
    </xf>
    <xf numFmtId="0" fontId="0" fillId="33" borderId="5" xfId="0" applyFill="1" applyBorder="1" applyAlignment="1">
      <alignment horizontal="center" vertical="center" wrapText="1"/>
    </xf>
    <xf numFmtId="0" fontId="0" fillId="33" borderId="7" xfId="0" applyFill="1" applyBorder="1" applyAlignment="1">
      <alignment horizontal="center" vertical="center" wrapText="1"/>
    </xf>
    <xf numFmtId="0" fontId="0" fillId="33" borderId="9" xfId="0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 wrapText="1"/>
    </xf>
    <xf numFmtId="0" fontId="0" fillId="33" borderId="11" xfId="0" applyFill="1" applyBorder="1" applyAlignment="1">
      <alignment horizontal="center" vertical="center" wrapText="1"/>
    </xf>
    <xf numFmtId="0" fontId="13" fillId="46" borderId="24" xfId="0" applyFont="1" applyFill="1" applyBorder="1" applyAlignment="1">
      <alignment horizontal="center" vertical="center" wrapText="1"/>
    </xf>
    <xf numFmtId="0" fontId="13" fillId="46" borderId="25" xfId="0" applyFont="1" applyFill="1" applyBorder="1" applyAlignment="1">
      <alignment horizontal="center" vertical="center" wrapText="1"/>
    </xf>
    <xf numFmtId="0" fontId="13" fillId="46" borderId="26" xfId="0" applyFont="1" applyFill="1" applyBorder="1" applyAlignment="1">
      <alignment horizontal="center" vertical="center" wrapText="1"/>
    </xf>
    <xf numFmtId="0" fontId="11" fillId="41" borderId="21" xfId="0" applyFont="1" applyFill="1" applyBorder="1" applyAlignment="1">
      <alignment horizontal="center" vertical="center" wrapText="1"/>
    </xf>
    <xf numFmtId="0" fontId="11" fillId="41" borderId="0" xfId="0" applyFont="1" applyFill="1" applyBorder="1" applyAlignment="1">
      <alignment horizontal="center" vertical="center" wrapText="1"/>
    </xf>
    <xf numFmtId="0" fontId="11" fillId="41" borderId="22" xfId="0" applyFont="1" applyFill="1" applyBorder="1" applyAlignment="1">
      <alignment horizontal="center" vertical="center" wrapText="1"/>
    </xf>
    <xf numFmtId="0" fontId="11" fillId="41" borderId="23" xfId="0" applyFont="1" applyFill="1" applyBorder="1" applyAlignment="1">
      <alignment horizontal="center" vertical="center" wrapText="1"/>
    </xf>
    <xf numFmtId="0" fontId="11" fillId="41" borderId="17" xfId="0" applyFont="1" applyFill="1" applyBorder="1" applyAlignment="1">
      <alignment horizontal="center" vertical="center" wrapText="1"/>
    </xf>
    <xf numFmtId="0" fontId="11" fillId="41" borderId="18" xfId="0" applyFont="1" applyFill="1" applyBorder="1" applyAlignment="1">
      <alignment horizontal="center" vertical="center" wrapText="1"/>
    </xf>
    <xf numFmtId="0" fontId="0" fillId="44" borderId="6" xfId="0" applyFill="1" applyBorder="1" applyAlignment="1">
      <alignment horizontal="center" vertical="center" wrapText="1"/>
    </xf>
    <xf numFmtId="0" fontId="0" fillId="44" borderId="5" xfId="0" applyFill="1" applyBorder="1" applyAlignment="1">
      <alignment horizontal="center" vertical="center" wrapText="1"/>
    </xf>
    <xf numFmtId="0" fontId="0" fillId="44" borderId="7" xfId="0" applyFill="1" applyBorder="1" applyAlignment="1">
      <alignment horizontal="center" vertical="center" wrapText="1"/>
    </xf>
    <xf numFmtId="0" fontId="0" fillId="44" borderId="9" xfId="0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 wrapText="1"/>
    </xf>
    <xf numFmtId="0" fontId="0" fillId="44" borderId="11" xfId="0" applyFill="1" applyBorder="1" applyAlignment="1">
      <alignment horizontal="center" vertical="center" wrapText="1"/>
    </xf>
    <xf numFmtId="0" fontId="2" fillId="39" borderId="20" xfId="0" applyFont="1" applyFill="1" applyBorder="1" applyAlignment="1">
      <alignment horizontal="center" vertical="center" wrapText="1"/>
    </xf>
    <xf numFmtId="0" fontId="2" fillId="39" borderId="15" xfId="0" applyFont="1" applyFill="1" applyBorder="1" applyAlignment="1">
      <alignment horizontal="center" vertical="center" wrapText="1"/>
    </xf>
    <xf numFmtId="0" fontId="2" fillId="39" borderId="16" xfId="0" applyFont="1" applyFill="1" applyBorder="1" applyAlignment="1">
      <alignment horizontal="center" vertical="center" wrapText="1"/>
    </xf>
    <xf numFmtId="0" fontId="2" fillId="39" borderId="21" xfId="0" applyFont="1" applyFill="1" applyBorder="1" applyAlignment="1">
      <alignment horizontal="center" vertical="center" wrapText="1"/>
    </xf>
    <xf numFmtId="0" fontId="2" fillId="39" borderId="0" xfId="0" applyFont="1" applyFill="1" applyBorder="1" applyAlignment="1">
      <alignment horizontal="center" vertical="center" wrapText="1"/>
    </xf>
    <xf numFmtId="0" fontId="2" fillId="39" borderId="22" xfId="0" applyFont="1" applyFill="1" applyBorder="1" applyAlignment="1">
      <alignment horizontal="center" vertical="center" wrapText="1"/>
    </xf>
    <xf numFmtId="0" fontId="2" fillId="39" borderId="23" xfId="0" applyFont="1" applyFill="1" applyBorder="1" applyAlignment="1">
      <alignment horizontal="center" vertical="center" wrapText="1"/>
    </xf>
    <xf numFmtId="0" fontId="2" fillId="39" borderId="17" xfId="0" applyFont="1" applyFill="1" applyBorder="1" applyAlignment="1">
      <alignment horizontal="center" vertical="center" wrapText="1"/>
    </xf>
    <xf numFmtId="0" fontId="2" fillId="39" borderId="18" xfId="0" applyFont="1" applyFill="1" applyBorder="1" applyAlignment="1">
      <alignment horizontal="center" vertical="center" wrapText="1"/>
    </xf>
    <xf numFmtId="0" fontId="2" fillId="40" borderId="21" xfId="0" applyFont="1" applyFill="1" applyBorder="1" applyAlignment="1">
      <alignment horizontal="center" vertical="center" wrapText="1"/>
    </xf>
    <xf numFmtId="0" fontId="2" fillId="40" borderId="0" xfId="0" applyFont="1" applyFill="1" applyBorder="1" applyAlignment="1">
      <alignment horizontal="center" vertical="center" wrapText="1"/>
    </xf>
    <xf numFmtId="0" fontId="2" fillId="40" borderId="22" xfId="0" applyFont="1" applyFill="1" applyBorder="1" applyAlignment="1">
      <alignment horizontal="center" vertical="center" wrapText="1"/>
    </xf>
    <xf numFmtId="0" fontId="2" fillId="21" borderId="4" xfId="0" applyFont="1" applyFill="1" applyBorder="1" applyAlignment="1">
      <alignment horizontal="center" vertical="top" wrapText="1"/>
    </xf>
    <xf numFmtId="0" fontId="2" fillId="21" borderId="8" xfId="0" applyFont="1" applyFill="1" applyBorder="1" applyAlignment="1">
      <alignment horizontal="center" vertical="top" wrapText="1"/>
    </xf>
    <xf numFmtId="0" fontId="2" fillId="21" borderId="4" xfId="0" applyFont="1" applyFill="1" applyBorder="1" applyAlignment="1">
      <alignment horizontal="center" vertical="center" wrapText="1"/>
    </xf>
    <xf numFmtId="0" fontId="2" fillId="21" borderId="8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0" fillId="12" borderId="10" xfId="0" applyFill="1" applyBorder="1" applyAlignment="1">
      <alignment horizontal="center" vertical="center" wrapText="1"/>
    </xf>
    <xf numFmtId="0" fontId="0" fillId="17" borderId="6" xfId="0" applyFill="1" applyBorder="1" applyAlignment="1">
      <alignment horizontal="center" vertical="center" wrapText="1"/>
    </xf>
    <xf numFmtId="0" fontId="0" fillId="17" borderId="5" xfId="0" applyFill="1" applyBorder="1" applyAlignment="1">
      <alignment horizontal="center" vertical="center" wrapText="1"/>
    </xf>
    <xf numFmtId="0" fontId="0" fillId="17" borderId="4" xfId="0" applyFill="1" applyBorder="1" applyAlignment="1">
      <alignment horizontal="center" vertical="center" wrapText="1"/>
    </xf>
    <xf numFmtId="0" fontId="0" fillId="17" borderId="0" xfId="0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6" borderId="6" xfId="0" applyFont="1" applyFill="1" applyBorder="1" applyAlignment="1">
      <alignment horizontal="center" vertical="center"/>
    </xf>
    <xf numFmtId="0" fontId="0" fillId="6" borderId="5" xfId="0" applyFont="1" applyFill="1" applyBorder="1" applyAlignment="1">
      <alignment horizontal="center" vertical="center"/>
    </xf>
    <xf numFmtId="0" fontId="0" fillId="6" borderId="7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 wrapText="1"/>
    </xf>
    <xf numFmtId="0" fontId="0" fillId="8" borderId="7" xfId="0" applyFill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 wrapText="1"/>
    </xf>
    <xf numFmtId="0" fontId="0" fillId="8" borderId="11" xfId="0" applyFill="1" applyBorder="1" applyAlignment="1">
      <alignment horizontal="center" vertical="center" wrapText="1"/>
    </xf>
    <xf numFmtId="0" fontId="2" fillId="26" borderId="6" xfId="0" applyFont="1" applyFill="1" applyBorder="1" applyAlignment="1">
      <alignment horizontal="center" vertical="center" wrapText="1"/>
    </xf>
    <xf numFmtId="0" fontId="2" fillId="26" borderId="5" xfId="0" applyFont="1" applyFill="1" applyBorder="1" applyAlignment="1">
      <alignment horizontal="center" vertical="center" wrapText="1"/>
    </xf>
    <xf numFmtId="0" fontId="2" fillId="26" borderId="9" xfId="0" applyFont="1" applyFill="1" applyBorder="1" applyAlignment="1">
      <alignment horizontal="center" vertical="center" wrapText="1"/>
    </xf>
    <xf numFmtId="0" fontId="2" fillId="26" borderId="10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5" borderId="6" xfId="0" applyFill="1" applyBorder="1" applyAlignment="1">
      <alignment horizontal="center" vertical="center" wrapText="1"/>
    </xf>
    <xf numFmtId="0" fontId="0" fillId="35" borderId="5" xfId="0" applyFill="1" applyBorder="1" applyAlignment="1">
      <alignment horizontal="center" vertical="center" wrapText="1"/>
    </xf>
    <xf numFmtId="0" fontId="0" fillId="35" borderId="7" xfId="0" applyFill="1" applyBorder="1" applyAlignment="1">
      <alignment horizontal="center" vertical="center" wrapText="1"/>
    </xf>
    <xf numFmtId="0" fontId="0" fillId="35" borderId="9" xfId="0" applyFill="1" applyBorder="1" applyAlignment="1">
      <alignment horizontal="center" vertical="center" wrapText="1"/>
    </xf>
    <xf numFmtId="0" fontId="0" fillId="35" borderId="10" xfId="0" applyFill="1" applyBorder="1" applyAlignment="1">
      <alignment horizontal="center" vertical="center" wrapText="1"/>
    </xf>
    <xf numFmtId="0" fontId="0" fillId="35" borderId="11" xfId="0" applyFill="1" applyBorder="1" applyAlignment="1">
      <alignment horizontal="center" vertical="center" wrapText="1"/>
    </xf>
    <xf numFmtId="0" fontId="0" fillId="34" borderId="6" xfId="0" applyFill="1" applyBorder="1" applyAlignment="1">
      <alignment horizontal="center" vertical="center" wrapText="1"/>
    </xf>
    <xf numFmtId="0" fontId="0" fillId="34" borderId="5" xfId="0" applyFill="1" applyBorder="1" applyAlignment="1">
      <alignment horizontal="center" vertical="center" wrapText="1"/>
    </xf>
    <xf numFmtId="0" fontId="0" fillId="34" borderId="7" xfId="0" applyFill="1" applyBorder="1" applyAlignment="1">
      <alignment horizontal="center" vertical="center" wrapText="1"/>
    </xf>
    <xf numFmtId="0" fontId="0" fillId="34" borderId="9" xfId="0" applyFill="1" applyBorder="1" applyAlignment="1">
      <alignment horizontal="center" vertical="center" wrapText="1"/>
    </xf>
    <xf numFmtId="0" fontId="0" fillId="34" borderId="10" xfId="0" applyFill="1" applyBorder="1" applyAlignment="1">
      <alignment horizontal="center" vertical="center" wrapText="1"/>
    </xf>
    <xf numFmtId="0" fontId="0" fillId="34" borderId="11" xfId="0" applyFill="1" applyBorder="1" applyAlignment="1">
      <alignment horizontal="center" vertical="center" wrapText="1"/>
    </xf>
    <xf numFmtId="0" fontId="0" fillId="31" borderId="6" xfId="0" applyFill="1" applyBorder="1" applyAlignment="1">
      <alignment horizontal="center" vertical="center" wrapText="1"/>
    </xf>
    <xf numFmtId="0" fontId="0" fillId="31" borderId="5" xfId="0" applyFill="1" applyBorder="1" applyAlignment="1">
      <alignment horizontal="center" vertical="center" wrapText="1"/>
    </xf>
    <xf numFmtId="0" fontId="0" fillId="31" borderId="7" xfId="0" applyFill="1" applyBorder="1" applyAlignment="1">
      <alignment horizontal="center" vertical="center" wrapText="1"/>
    </xf>
    <xf numFmtId="0" fontId="0" fillId="31" borderId="9" xfId="0" applyFill="1" applyBorder="1" applyAlignment="1">
      <alignment horizontal="center" vertical="center" wrapText="1"/>
    </xf>
    <xf numFmtId="0" fontId="0" fillId="31" borderId="10" xfId="0" applyFill="1" applyBorder="1" applyAlignment="1">
      <alignment horizontal="center" vertical="center" wrapText="1"/>
    </xf>
    <xf numFmtId="0" fontId="0" fillId="31" borderId="11" xfId="0" applyFill="1" applyBorder="1" applyAlignment="1">
      <alignment horizontal="center" vertical="center" wrapText="1"/>
    </xf>
    <xf numFmtId="0" fontId="0" fillId="32" borderId="6" xfId="0" applyFill="1" applyBorder="1" applyAlignment="1">
      <alignment horizontal="center" vertical="center" wrapText="1"/>
    </xf>
    <xf numFmtId="0" fontId="0" fillId="32" borderId="5" xfId="0" applyFill="1" applyBorder="1" applyAlignment="1">
      <alignment horizontal="center" vertical="center" wrapText="1"/>
    </xf>
    <xf numFmtId="0" fontId="0" fillId="32" borderId="7" xfId="0" applyFill="1" applyBorder="1" applyAlignment="1">
      <alignment horizontal="center" vertical="center" wrapText="1"/>
    </xf>
    <xf numFmtId="0" fontId="0" fillId="32" borderId="9" xfId="0" applyFill="1" applyBorder="1" applyAlignment="1">
      <alignment horizontal="center" vertical="center" wrapText="1"/>
    </xf>
    <xf numFmtId="0" fontId="0" fillId="32" borderId="10" xfId="0" applyFill="1" applyBorder="1" applyAlignment="1">
      <alignment horizontal="center" vertical="center" wrapText="1"/>
    </xf>
    <xf numFmtId="0" fontId="0" fillId="32" borderId="11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25" borderId="6" xfId="0" applyFill="1" applyBorder="1" applyAlignment="1">
      <alignment horizontal="center" vertical="center" wrapText="1"/>
    </xf>
    <xf numFmtId="0" fontId="0" fillId="25" borderId="5" xfId="0" applyFill="1" applyBorder="1" applyAlignment="1">
      <alignment horizontal="center" vertical="center" wrapText="1"/>
    </xf>
    <xf numFmtId="0" fontId="0" fillId="25" borderId="7" xfId="0" applyFill="1" applyBorder="1" applyAlignment="1">
      <alignment horizontal="center" vertical="center" wrapText="1"/>
    </xf>
    <xf numFmtId="0" fontId="0" fillId="25" borderId="9" xfId="0" applyFill="1" applyBorder="1" applyAlignment="1">
      <alignment horizontal="center" vertical="center" wrapText="1"/>
    </xf>
    <xf numFmtId="0" fontId="0" fillId="25" borderId="10" xfId="0" applyFill="1" applyBorder="1" applyAlignment="1">
      <alignment horizontal="center" vertical="center" wrapText="1"/>
    </xf>
    <xf numFmtId="0" fontId="0" fillId="25" borderId="11" xfId="0" applyFill="1" applyBorder="1" applyAlignment="1">
      <alignment horizontal="center" vertical="center" wrapText="1"/>
    </xf>
    <xf numFmtId="0" fontId="2" fillId="21" borderId="6" xfId="0" applyFont="1" applyFill="1" applyBorder="1" applyAlignment="1">
      <alignment horizontal="center" vertical="top" wrapText="1"/>
    </xf>
    <xf numFmtId="0" fontId="2" fillId="21" borderId="7" xfId="0" applyFont="1" applyFill="1" applyBorder="1" applyAlignment="1">
      <alignment horizontal="center" vertical="top" wrapText="1"/>
    </xf>
    <xf numFmtId="0" fontId="2" fillId="23" borderId="6" xfId="0" applyFont="1" applyFill="1" applyBorder="1" applyAlignment="1">
      <alignment horizontal="center" vertical="center" wrapText="1"/>
    </xf>
    <xf numFmtId="0" fontId="2" fillId="23" borderId="5" xfId="0" applyFont="1" applyFill="1" applyBorder="1" applyAlignment="1">
      <alignment horizontal="center" vertical="center" wrapText="1"/>
    </xf>
    <xf numFmtId="0" fontId="2" fillId="23" borderId="7" xfId="0" applyFont="1" applyFill="1" applyBorder="1" applyAlignment="1">
      <alignment horizontal="center" vertical="center" wrapText="1"/>
    </xf>
    <xf numFmtId="0" fontId="4" fillId="18" borderId="6" xfId="0" applyFont="1" applyFill="1" applyBorder="1" applyAlignment="1">
      <alignment horizontal="center" vertical="center" wrapText="1"/>
    </xf>
    <xf numFmtId="0" fontId="0" fillId="18" borderId="5" xfId="0" applyFill="1" applyBorder="1" applyAlignment="1">
      <alignment horizontal="center" vertical="center" wrapText="1"/>
    </xf>
    <xf numFmtId="0" fontId="0" fillId="18" borderId="9" xfId="0" applyFill="1" applyBorder="1" applyAlignment="1">
      <alignment horizontal="center" vertical="center" wrapText="1"/>
    </xf>
    <xf numFmtId="0" fontId="0" fillId="18" borderId="10" xfId="0" applyFill="1" applyBorder="1" applyAlignment="1">
      <alignment horizontal="center" vertical="center" wrapText="1"/>
    </xf>
    <xf numFmtId="0" fontId="0" fillId="9" borderId="6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24" borderId="2" xfId="0" applyFont="1" applyFill="1" applyBorder="1" applyAlignment="1">
      <alignment horizontal="center" vertical="center" wrapText="1"/>
    </xf>
    <xf numFmtId="0" fontId="2" fillId="24" borderId="19" xfId="0" applyFont="1" applyFill="1" applyBorder="1" applyAlignment="1">
      <alignment horizontal="center" vertical="center" wrapText="1"/>
    </xf>
    <xf numFmtId="0" fontId="2" fillId="24" borderId="3" xfId="0" applyFont="1" applyFill="1" applyBorder="1" applyAlignment="1">
      <alignment horizontal="center" vertical="center" wrapText="1"/>
    </xf>
    <xf numFmtId="0" fontId="1" fillId="20" borderId="5" xfId="0" applyFont="1" applyFill="1" applyBorder="1" applyAlignment="1">
      <alignment horizontal="center" vertical="center" wrapText="1"/>
    </xf>
    <xf numFmtId="0" fontId="0" fillId="20" borderId="0" xfId="0" applyFill="1" applyBorder="1" applyAlignment="1">
      <alignment horizontal="center" vertical="center" wrapText="1"/>
    </xf>
    <xf numFmtId="0" fontId="0" fillId="20" borderId="6" xfId="0" applyFill="1" applyBorder="1" applyAlignment="1">
      <alignment horizontal="right" vertical="center" wrapText="1"/>
    </xf>
    <xf numFmtId="0" fontId="0" fillId="20" borderId="4" xfId="0" applyFill="1" applyBorder="1" applyAlignment="1">
      <alignment horizontal="right" vertical="center" wrapText="1"/>
    </xf>
    <xf numFmtId="0" fontId="0" fillId="20" borderId="9" xfId="0" applyFill="1" applyBorder="1" applyAlignment="1">
      <alignment horizontal="right" vertical="center" wrapText="1"/>
    </xf>
    <xf numFmtId="0" fontId="1" fillId="20" borderId="5" xfId="0" applyFont="1" applyFill="1" applyBorder="1" applyAlignment="1">
      <alignment horizontal="left" vertical="center"/>
    </xf>
    <xf numFmtId="0" fontId="0" fillId="20" borderId="0" xfId="0" applyFill="1" applyBorder="1" applyAlignment="1">
      <alignment horizontal="left" vertical="center"/>
    </xf>
    <xf numFmtId="0" fontId="0" fillId="20" borderId="10" xfId="0" applyFill="1" applyBorder="1" applyAlignment="1">
      <alignment horizontal="left" vertical="center"/>
    </xf>
    <xf numFmtId="0" fontId="1" fillId="13" borderId="5" xfId="0" applyFont="1" applyFill="1" applyBorder="1" applyAlignment="1">
      <alignment horizontal="center" vertical="center" wrapText="1"/>
    </xf>
    <xf numFmtId="0" fontId="0" fillId="13" borderId="7" xfId="0" applyFill="1" applyBorder="1" applyAlignment="1">
      <alignment horizontal="center" vertical="center" wrapText="1"/>
    </xf>
    <xf numFmtId="0" fontId="0" fillId="13" borderId="0" xfId="0" applyFill="1" applyBorder="1" applyAlignment="1">
      <alignment horizontal="center" vertical="center" wrapText="1"/>
    </xf>
    <xf numFmtId="0" fontId="0" fillId="13" borderId="8" xfId="0" applyFill="1" applyBorder="1" applyAlignment="1">
      <alignment horizontal="center" vertical="center" wrapText="1"/>
    </xf>
    <xf numFmtId="0" fontId="0" fillId="13" borderId="10" xfId="0" applyFill="1" applyBorder="1" applyAlignment="1">
      <alignment horizontal="center" vertical="center" wrapText="1"/>
    </xf>
    <xf numFmtId="0" fontId="0" fillId="13" borderId="11" xfId="0" applyFill="1" applyBorder="1" applyAlignment="1">
      <alignment horizontal="center" vertical="center" wrapText="1"/>
    </xf>
    <xf numFmtId="0" fontId="1" fillId="13" borderId="5" xfId="0" applyFont="1" applyFill="1" applyBorder="1" applyAlignment="1">
      <alignment horizontal="left" vertical="center"/>
    </xf>
    <xf numFmtId="0" fontId="0" fillId="13" borderId="0" xfId="0" applyFill="1" applyBorder="1" applyAlignment="1">
      <alignment horizontal="left" vertical="center"/>
    </xf>
    <xf numFmtId="0" fontId="0" fillId="13" borderId="10" xfId="0" applyFill="1" applyBorder="1" applyAlignment="1">
      <alignment horizontal="left" vertical="center"/>
    </xf>
    <xf numFmtId="0" fontId="0" fillId="13" borderId="6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left" vertical="center"/>
    </xf>
    <xf numFmtId="0" fontId="0" fillId="5" borderId="0" xfId="0" applyFill="1" applyBorder="1" applyAlignment="1">
      <alignment horizontal="left" vertical="center"/>
    </xf>
    <xf numFmtId="0" fontId="0" fillId="5" borderId="10" xfId="0" applyFill="1" applyBorder="1" applyAlignment="1">
      <alignment horizontal="left" vertical="center"/>
    </xf>
    <xf numFmtId="0" fontId="0" fillId="5" borderId="6" xfId="0" applyFill="1" applyBorder="1" applyAlignment="1">
      <alignment horizontal="right" vertical="center" wrapText="1"/>
    </xf>
    <xf numFmtId="0" fontId="0" fillId="5" borderId="4" xfId="0" applyFill="1" applyBorder="1" applyAlignment="1">
      <alignment horizontal="right" vertical="center" wrapText="1"/>
    </xf>
    <xf numFmtId="0" fontId="0" fillId="5" borderId="9" xfId="0" applyFill="1" applyBorder="1" applyAlignment="1">
      <alignment horizontal="right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6" borderId="10" xfId="0" applyFill="1" applyBorder="1" applyAlignment="1">
      <alignment horizontal="left" vertical="center"/>
    </xf>
    <xf numFmtId="0" fontId="0" fillId="6" borderId="6" xfId="0" applyFill="1" applyBorder="1" applyAlignment="1">
      <alignment horizontal="right" vertical="center" wrapText="1"/>
    </xf>
    <xf numFmtId="0" fontId="0" fillId="6" borderId="4" xfId="0" applyFill="1" applyBorder="1" applyAlignment="1">
      <alignment horizontal="right" vertical="center" wrapText="1"/>
    </xf>
    <xf numFmtId="0" fontId="0" fillId="6" borderId="9" xfId="0" applyFill="1" applyBorder="1" applyAlignment="1">
      <alignment horizontal="right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9" xfId="0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 wrapText="1"/>
    </xf>
    <xf numFmtId="0" fontId="0" fillId="11" borderId="11" xfId="0" applyFill="1" applyBorder="1" applyAlignment="1">
      <alignment horizontal="center" vertical="center" wrapText="1"/>
    </xf>
    <xf numFmtId="0" fontId="2" fillId="24" borderId="19" xfId="0" applyFont="1" applyFill="1" applyBorder="1" applyAlignment="1">
      <alignment horizontal="center" wrapText="1"/>
    </xf>
    <xf numFmtId="0" fontId="2" fillId="27" borderId="6" xfId="0" applyFont="1" applyFill="1" applyBorder="1" applyAlignment="1">
      <alignment horizontal="center" vertical="center" wrapText="1"/>
    </xf>
    <xf numFmtId="0" fontId="2" fillId="27" borderId="7" xfId="0" applyFont="1" applyFill="1" applyBorder="1" applyAlignment="1">
      <alignment horizontal="center" vertical="center" wrapText="1"/>
    </xf>
    <xf numFmtId="0" fontId="2" fillId="27" borderId="9" xfId="0" applyFont="1" applyFill="1" applyBorder="1" applyAlignment="1">
      <alignment horizontal="center" vertical="center" wrapText="1"/>
    </xf>
    <xf numFmtId="0" fontId="2" fillId="27" borderId="11" xfId="0" applyFont="1" applyFill="1" applyBorder="1" applyAlignment="1">
      <alignment horizontal="center" vertical="center" wrapText="1"/>
    </xf>
    <xf numFmtId="0" fontId="2" fillId="48" borderId="6" xfId="0" applyFont="1" applyFill="1" applyBorder="1" applyAlignment="1">
      <alignment horizontal="center" vertical="center" wrapText="1"/>
    </xf>
    <xf numFmtId="0" fontId="2" fillId="48" borderId="5" xfId="0" applyFont="1" applyFill="1" applyBorder="1" applyAlignment="1">
      <alignment horizontal="center" vertical="center" wrapText="1"/>
    </xf>
    <xf numFmtId="0" fontId="2" fillId="48" borderId="7" xfId="0" applyFont="1" applyFill="1" applyBorder="1" applyAlignment="1">
      <alignment horizontal="center" vertical="center" wrapText="1"/>
    </xf>
    <xf numFmtId="0" fontId="0" fillId="13" borderId="6" xfId="0" applyFill="1" applyBorder="1" applyAlignment="1">
      <alignment horizontal="right" vertical="center" wrapText="1"/>
    </xf>
    <xf numFmtId="0" fontId="0" fillId="13" borderId="4" xfId="0" applyFill="1" applyBorder="1" applyAlignment="1">
      <alignment horizontal="right" vertical="center" wrapText="1"/>
    </xf>
    <xf numFmtId="0" fontId="0" fillId="13" borderId="9" xfId="0" applyFill="1" applyBorder="1" applyAlignment="1">
      <alignment horizontal="right" vertical="center" wrapText="1"/>
    </xf>
    <xf numFmtId="0" fontId="2" fillId="16" borderId="6" xfId="0" applyFont="1" applyFill="1" applyBorder="1" applyAlignment="1">
      <alignment horizontal="center" vertical="center" wrapText="1"/>
    </xf>
    <xf numFmtId="0" fontId="0" fillId="16" borderId="5" xfId="0" applyFill="1" applyBorder="1" applyAlignment="1">
      <alignment horizontal="center" vertical="center" wrapText="1"/>
    </xf>
    <xf numFmtId="0" fontId="0" fillId="16" borderId="7" xfId="0" applyFill="1" applyBorder="1" applyAlignment="1">
      <alignment horizontal="center" vertical="center" wrapText="1"/>
    </xf>
    <xf numFmtId="0" fontId="0" fillId="16" borderId="9" xfId="0" applyFill="1" applyBorder="1" applyAlignment="1">
      <alignment horizontal="center" vertical="center" wrapText="1"/>
    </xf>
    <xf numFmtId="0" fontId="0" fillId="16" borderId="10" xfId="0" applyFill="1" applyBorder="1" applyAlignment="1">
      <alignment horizontal="center" vertical="center" wrapText="1"/>
    </xf>
    <xf numFmtId="0" fontId="0" fillId="16" borderId="11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0" xfId="0" applyFill="1" applyBorder="1" applyAlignment="1">
      <alignment horizontal="center" wrapText="1"/>
    </xf>
    <xf numFmtId="0" fontId="0" fillId="8" borderId="8" xfId="0" applyFill="1" applyBorder="1" applyAlignment="1">
      <alignment horizontal="center" wrapText="1"/>
    </xf>
    <xf numFmtId="0" fontId="0" fillId="8" borderId="10" xfId="0" applyFill="1" applyBorder="1" applyAlignment="1">
      <alignment horizontal="center" wrapText="1"/>
    </xf>
    <xf numFmtId="0" fontId="0" fillId="8" borderId="11" xfId="0" applyFill="1" applyBorder="1" applyAlignment="1">
      <alignment horizontal="center" wrapText="1"/>
    </xf>
    <xf numFmtId="0" fontId="8" fillId="3" borderId="6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8" borderId="6" xfId="0" applyFill="1" applyBorder="1" applyAlignment="1">
      <alignment horizontal="right" vertical="center" wrapText="1"/>
    </xf>
    <xf numFmtId="0" fontId="0" fillId="8" borderId="4" xfId="0" applyFill="1" applyBorder="1" applyAlignment="1">
      <alignment horizontal="right" vertical="center" wrapText="1"/>
    </xf>
    <xf numFmtId="0" fontId="0" fillId="8" borderId="9" xfId="0" applyFill="1" applyBorder="1" applyAlignment="1">
      <alignment horizontal="right" vertical="center" wrapText="1"/>
    </xf>
    <xf numFmtId="0" fontId="1" fillId="8" borderId="5" xfId="0" applyFont="1" applyFill="1" applyBorder="1" applyAlignment="1">
      <alignment horizontal="left" vertical="center"/>
    </xf>
    <xf numFmtId="0" fontId="0" fillId="8" borderId="0" xfId="0" applyFill="1" applyBorder="1" applyAlignment="1">
      <alignment horizontal="left" vertical="center"/>
    </xf>
    <xf numFmtId="0" fontId="0" fillId="8" borderId="10" xfId="0" applyFill="1" applyBorder="1" applyAlignment="1">
      <alignment horizontal="left" vertical="center"/>
    </xf>
    <xf numFmtId="0" fontId="0" fillId="8" borderId="15" xfId="0" applyFill="1" applyBorder="1" applyAlignment="1">
      <alignment horizontal="center" vertical="center" wrapText="1"/>
    </xf>
    <xf numFmtId="0" fontId="0" fillId="8" borderId="16" xfId="0" applyFill="1" applyBorder="1" applyAlignment="1">
      <alignment horizontal="center" vertical="center" wrapText="1"/>
    </xf>
    <xf numFmtId="0" fontId="0" fillId="8" borderId="17" xfId="0" applyFill="1" applyBorder="1" applyAlignment="1">
      <alignment horizontal="center" vertical="center" wrapText="1"/>
    </xf>
    <xf numFmtId="0" fontId="0" fillId="8" borderId="18" xfId="0" applyFill="1" applyBorder="1" applyAlignment="1">
      <alignment horizontal="center" vertical="center" wrapText="1"/>
    </xf>
    <xf numFmtId="0" fontId="0" fillId="20" borderId="2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1" borderId="6" xfId="0" applyFont="1" applyFill="1" applyBorder="1" applyAlignment="1">
      <alignment horizontal="center" vertical="center" wrapText="1"/>
    </xf>
    <xf numFmtId="0" fontId="2" fillId="21" borderId="7" xfId="0" applyFont="1" applyFill="1" applyBorder="1" applyAlignment="1">
      <alignment horizontal="center" vertical="center" wrapText="1"/>
    </xf>
    <xf numFmtId="0" fontId="2" fillId="21" borderId="9" xfId="0" applyFont="1" applyFill="1" applyBorder="1" applyAlignment="1">
      <alignment horizontal="center" vertical="center" wrapText="1"/>
    </xf>
    <xf numFmtId="0" fontId="2" fillId="21" borderId="11" xfId="0" applyFont="1" applyFill="1" applyBorder="1" applyAlignment="1">
      <alignment horizontal="center" vertical="center" wrapText="1"/>
    </xf>
    <xf numFmtId="0" fontId="2" fillId="27" borderId="6" xfId="0" applyFont="1" applyFill="1" applyBorder="1" applyAlignment="1">
      <alignment horizontal="center" vertical="top" wrapText="1"/>
    </xf>
    <xf numFmtId="0" fontId="2" fillId="27" borderId="7" xfId="0" applyFont="1" applyFill="1" applyBorder="1" applyAlignment="1">
      <alignment horizontal="center" vertical="top" wrapText="1"/>
    </xf>
    <xf numFmtId="0" fontId="2" fillId="27" borderId="9" xfId="0" applyFont="1" applyFill="1" applyBorder="1" applyAlignment="1">
      <alignment horizontal="center" vertical="top" wrapText="1"/>
    </xf>
    <xf numFmtId="0" fontId="2" fillId="27" borderId="11" xfId="0" applyFont="1" applyFill="1" applyBorder="1" applyAlignment="1">
      <alignment horizontal="center" vertical="top" wrapText="1"/>
    </xf>
    <xf numFmtId="0" fontId="0" fillId="20" borderId="6" xfId="0" applyFont="1" applyFill="1" applyBorder="1" applyAlignment="1">
      <alignment horizontal="center" vertical="center"/>
    </xf>
    <xf numFmtId="0" fontId="0" fillId="20" borderId="5" xfId="0" applyFont="1" applyFill="1" applyBorder="1" applyAlignment="1">
      <alignment horizontal="center" vertical="center"/>
    </xf>
    <xf numFmtId="0" fontId="0" fillId="20" borderId="9" xfId="0" applyFont="1" applyFill="1" applyBorder="1" applyAlignment="1">
      <alignment horizontal="center" vertical="center"/>
    </xf>
    <xf numFmtId="0" fontId="0" fillId="20" borderId="10" xfId="0" applyFont="1" applyFill="1" applyBorder="1" applyAlignment="1">
      <alignment horizontal="center" vertical="center"/>
    </xf>
    <xf numFmtId="0" fontId="0" fillId="28" borderId="6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9" xfId="0" applyFill="1" applyBorder="1" applyAlignment="1">
      <alignment horizontal="center" vertical="center"/>
    </xf>
    <xf numFmtId="0" fontId="0" fillId="28" borderId="10" xfId="0" applyFill="1" applyBorder="1" applyAlignment="1">
      <alignment horizontal="center" vertical="center"/>
    </xf>
    <xf numFmtId="0" fontId="0" fillId="28" borderId="11" xfId="0" applyFill="1" applyBorder="1" applyAlignment="1">
      <alignment horizontal="center" vertical="center"/>
    </xf>
    <xf numFmtId="0" fontId="0" fillId="29" borderId="2" xfId="0" applyFill="1" applyBorder="1" applyAlignment="1">
      <alignment horizontal="center" vertical="center"/>
    </xf>
    <xf numFmtId="0" fontId="0" fillId="29" borderId="3" xfId="0" applyFill="1" applyBorder="1" applyAlignment="1">
      <alignment horizontal="center" vertical="center"/>
    </xf>
    <xf numFmtId="0" fontId="7" fillId="20" borderId="2" xfId="0" applyFont="1" applyFill="1" applyBorder="1" applyAlignment="1">
      <alignment horizontal="center" vertical="center"/>
    </xf>
    <xf numFmtId="0" fontId="7" fillId="20" borderId="19" xfId="0" applyFont="1" applyFill="1" applyBorder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0" fontId="0" fillId="36" borderId="6" xfId="0" applyFill="1" applyBorder="1" applyAlignment="1">
      <alignment horizontal="center" vertical="center" wrapText="1"/>
    </xf>
    <xf numFmtId="0" fontId="0" fillId="36" borderId="5" xfId="0" applyFill="1" applyBorder="1" applyAlignment="1">
      <alignment horizontal="center" vertical="center" wrapText="1"/>
    </xf>
    <xf numFmtId="0" fontId="0" fillId="36" borderId="7" xfId="0" applyFill="1" applyBorder="1" applyAlignment="1">
      <alignment horizontal="center" vertical="center" wrapText="1"/>
    </xf>
    <xf numFmtId="0" fontId="0" fillId="36" borderId="9" xfId="0" applyFill="1" applyBorder="1" applyAlignment="1">
      <alignment horizontal="center" vertical="center" wrapText="1"/>
    </xf>
    <xf numFmtId="0" fontId="0" fillId="36" borderId="10" xfId="0" applyFill="1" applyBorder="1" applyAlignment="1">
      <alignment horizontal="center" vertical="center" wrapText="1"/>
    </xf>
    <xf numFmtId="0" fontId="0" fillId="36" borderId="11" xfId="0" applyFill="1" applyBorder="1" applyAlignment="1">
      <alignment horizontal="center" vertical="center" wrapText="1"/>
    </xf>
    <xf numFmtId="0" fontId="0" fillId="45" borderId="6" xfId="0" applyFill="1" applyBorder="1" applyAlignment="1">
      <alignment horizontal="center" vertical="center" wrapText="1"/>
    </xf>
    <xf numFmtId="0" fontId="0" fillId="45" borderId="5" xfId="0" applyFill="1" applyBorder="1" applyAlignment="1">
      <alignment horizontal="center" vertical="center" wrapText="1"/>
    </xf>
    <xf numFmtId="0" fontId="0" fillId="45" borderId="7" xfId="0" applyFill="1" applyBorder="1" applyAlignment="1">
      <alignment horizontal="center" vertical="center" wrapText="1"/>
    </xf>
    <xf numFmtId="0" fontId="0" fillId="45" borderId="9" xfId="0" applyFill="1" applyBorder="1" applyAlignment="1">
      <alignment horizontal="center" vertical="center" wrapText="1"/>
    </xf>
    <xf numFmtId="0" fontId="0" fillId="45" borderId="10" xfId="0" applyFill="1" applyBorder="1" applyAlignment="1">
      <alignment horizontal="center" vertical="center" wrapText="1"/>
    </xf>
    <xf numFmtId="0" fontId="0" fillId="45" borderId="11" xfId="0" applyFill="1" applyBorder="1" applyAlignment="1">
      <alignment horizontal="center" vertical="center" wrapText="1"/>
    </xf>
    <xf numFmtId="0" fontId="2" fillId="49" borderId="6" xfId="0" applyFont="1" applyFill="1" applyBorder="1" applyAlignment="1">
      <alignment horizontal="center" vertical="center" wrapText="1"/>
    </xf>
    <xf numFmtId="0" fontId="2" fillId="49" borderId="5" xfId="0" applyFont="1" applyFill="1" applyBorder="1" applyAlignment="1">
      <alignment horizontal="center" vertical="center" wrapText="1"/>
    </xf>
    <xf numFmtId="0" fontId="2" fillId="49" borderId="7" xfId="0" applyFont="1" applyFill="1" applyBorder="1" applyAlignment="1">
      <alignment horizontal="center" vertical="center" wrapText="1"/>
    </xf>
    <xf numFmtId="0" fontId="2" fillId="49" borderId="9" xfId="0" applyFont="1" applyFill="1" applyBorder="1" applyAlignment="1">
      <alignment horizontal="center" vertical="center" wrapText="1"/>
    </xf>
    <xf numFmtId="0" fontId="2" fillId="49" borderId="10" xfId="0" applyFont="1" applyFill="1" applyBorder="1" applyAlignment="1">
      <alignment horizontal="center" vertical="center" wrapText="1"/>
    </xf>
    <xf numFmtId="0" fontId="2" fillId="49" borderId="11" xfId="0" applyFont="1" applyFill="1" applyBorder="1" applyAlignment="1">
      <alignment horizontal="center" vertical="center" wrapText="1"/>
    </xf>
    <xf numFmtId="0" fontId="0" fillId="43" borderId="6" xfId="0" applyFont="1" applyFill="1" applyBorder="1" applyAlignment="1">
      <alignment horizontal="center" vertical="center" wrapText="1"/>
    </xf>
    <xf numFmtId="0" fontId="0" fillId="43" borderId="5" xfId="0" applyFont="1" applyFill="1" applyBorder="1" applyAlignment="1">
      <alignment horizontal="center" vertical="center" wrapText="1"/>
    </xf>
    <xf numFmtId="0" fontId="0" fillId="43" borderId="7" xfId="0" applyFont="1" applyFill="1" applyBorder="1" applyAlignment="1">
      <alignment horizontal="center" vertical="center" wrapText="1"/>
    </xf>
    <xf numFmtId="0" fontId="0" fillId="43" borderId="9" xfId="0" applyFont="1" applyFill="1" applyBorder="1" applyAlignment="1">
      <alignment horizontal="center" vertical="center" wrapText="1"/>
    </xf>
    <xf numFmtId="0" fontId="0" fillId="43" borderId="10" xfId="0" applyFont="1" applyFill="1" applyBorder="1" applyAlignment="1">
      <alignment horizontal="center" vertical="center" wrapText="1"/>
    </xf>
    <xf numFmtId="0" fontId="0" fillId="43" borderId="11" xfId="0" applyFont="1" applyFill="1" applyBorder="1" applyAlignment="1">
      <alignment horizontal="center" vertical="center" wrapText="1"/>
    </xf>
    <xf numFmtId="0" fontId="2" fillId="42" borderId="6" xfId="0" applyFont="1" applyFill="1" applyBorder="1" applyAlignment="1">
      <alignment horizontal="center" vertical="center" wrapText="1"/>
    </xf>
    <xf numFmtId="0" fontId="2" fillId="42" borderId="5" xfId="0" applyFont="1" applyFill="1" applyBorder="1" applyAlignment="1">
      <alignment horizontal="center" vertical="center" wrapText="1"/>
    </xf>
    <xf numFmtId="0" fontId="2" fillId="42" borderId="7" xfId="0" applyFont="1" applyFill="1" applyBorder="1" applyAlignment="1">
      <alignment horizontal="center" vertical="center" wrapText="1"/>
    </xf>
    <xf numFmtId="0" fontId="2" fillId="42" borderId="9" xfId="0" applyFont="1" applyFill="1" applyBorder="1" applyAlignment="1">
      <alignment horizontal="center" vertical="center" wrapText="1"/>
    </xf>
    <xf numFmtId="0" fontId="2" fillId="42" borderId="10" xfId="0" applyFont="1" applyFill="1" applyBorder="1" applyAlignment="1">
      <alignment horizontal="center" vertical="center" wrapText="1"/>
    </xf>
    <xf numFmtId="0" fontId="2" fillId="42" borderId="11" xfId="0" applyFont="1" applyFill="1" applyBorder="1" applyAlignment="1">
      <alignment horizontal="center" vertical="center" wrapText="1"/>
    </xf>
    <xf numFmtId="0" fontId="2" fillId="26" borderId="7" xfId="0" applyFont="1" applyFill="1" applyBorder="1" applyAlignment="1">
      <alignment horizontal="center" vertical="center" wrapText="1"/>
    </xf>
    <xf numFmtId="0" fontId="2" fillId="26" borderId="11" xfId="0" applyFont="1" applyFill="1" applyBorder="1" applyAlignment="1">
      <alignment horizontal="center" vertical="center" wrapText="1"/>
    </xf>
    <xf numFmtId="0" fontId="0" fillId="47" borderId="6" xfId="0" applyFill="1" applyBorder="1" applyAlignment="1">
      <alignment horizontal="center" vertical="center" wrapText="1"/>
    </xf>
    <xf numFmtId="0" fontId="0" fillId="47" borderId="5" xfId="0" applyFill="1" applyBorder="1" applyAlignment="1">
      <alignment horizontal="center" vertical="center" wrapText="1"/>
    </xf>
    <xf numFmtId="0" fontId="0" fillId="47" borderId="7" xfId="0" applyFill="1" applyBorder="1" applyAlignment="1">
      <alignment horizontal="center" vertical="center" wrapText="1"/>
    </xf>
    <xf numFmtId="0" fontId="0" fillId="47" borderId="9" xfId="0" applyFill="1" applyBorder="1" applyAlignment="1">
      <alignment horizontal="center" vertical="center" wrapText="1"/>
    </xf>
    <xf numFmtId="0" fontId="0" fillId="47" borderId="10" xfId="0" applyFill="1" applyBorder="1" applyAlignment="1">
      <alignment horizontal="center" vertical="center" wrapText="1"/>
    </xf>
    <xf numFmtId="0" fontId="0" fillId="47" borderId="11" xfId="0" applyFill="1" applyBorder="1" applyAlignment="1">
      <alignment horizontal="center" vertical="center" wrapText="1"/>
    </xf>
    <xf numFmtId="0" fontId="0" fillId="50" borderId="6" xfId="0" applyFill="1" applyBorder="1" applyAlignment="1">
      <alignment horizontal="center" vertical="center" wrapText="1"/>
    </xf>
    <xf numFmtId="0" fontId="0" fillId="50" borderId="5" xfId="0" applyFill="1" applyBorder="1" applyAlignment="1">
      <alignment horizontal="center" vertical="center" wrapText="1"/>
    </xf>
    <xf numFmtId="0" fontId="0" fillId="50" borderId="7" xfId="0" applyFill="1" applyBorder="1" applyAlignment="1">
      <alignment horizontal="center" vertical="center" wrapText="1"/>
    </xf>
    <xf numFmtId="0" fontId="0" fillId="50" borderId="9" xfId="0" applyFill="1" applyBorder="1" applyAlignment="1">
      <alignment horizontal="center" vertical="center" wrapText="1"/>
    </xf>
    <xf numFmtId="0" fontId="0" fillId="50" borderId="10" xfId="0" applyFill="1" applyBorder="1" applyAlignment="1">
      <alignment horizontal="center" vertical="center" wrapText="1"/>
    </xf>
    <xf numFmtId="0" fontId="0" fillId="50" borderId="11" xfId="0" applyFill="1" applyBorder="1" applyAlignment="1">
      <alignment horizontal="center" vertical="center" wrapText="1"/>
    </xf>
    <xf numFmtId="0" fontId="0" fillId="20" borderId="6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20" borderId="7" xfId="0" applyFont="1" applyFill="1" applyBorder="1" applyAlignment="1">
      <alignment horizontal="center" vertical="center"/>
    </xf>
    <xf numFmtId="0" fontId="0" fillId="20" borderId="11" xfId="0" applyFont="1" applyFill="1" applyBorder="1" applyAlignment="1">
      <alignment horizontal="center" vertical="center"/>
    </xf>
    <xf numFmtId="0" fontId="0" fillId="51" borderId="6" xfId="0" applyFill="1" applyBorder="1" applyAlignment="1">
      <alignment horizontal="center" vertical="center" wrapText="1"/>
    </xf>
    <xf numFmtId="0" fontId="0" fillId="51" borderId="5" xfId="0" applyFill="1" applyBorder="1" applyAlignment="1">
      <alignment horizontal="center" vertical="center" wrapText="1"/>
    </xf>
    <xf numFmtId="0" fontId="0" fillId="51" borderId="7" xfId="0" applyFill="1" applyBorder="1" applyAlignment="1">
      <alignment horizontal="center" vertical="center" wrapText="1"/>
    </xf>
    <xf numFmtId="0" fontId="0" fillId="51" borderId="9" xfId="0" applyFill="1" applyBorder="1" applyAlignment="1">
      <alignment horizontal="center" vertical="center" wrapText="1"/>
    </xf>
    <xf numFmtId="0" fontId="0" fillId="51" borderId="10" xfId="0" applyFill="1" applyBorder="1" applyAlignment="1">
      <alignment horizontal="center" vertical="center" wrapText="1"/>
    </xf>
    <xf numFmtId="0" fontId="0" fillId="51" borderId="11" xfId="0" applyFill="1" applyBorder="1" applyAlignment="1">
      <alignment horizontal="center" vertical="center" wrapText="1"/>
    </xf>
    <xf numFmtId="0" fontId="20" fillId="3" borderId="20" xfId="0" applyFont="1" applyFill="1" applyBorder="1" applyAlignment="1">
      <alignment horizontal="center" vertical="center" wrapText="1"/>
    </xf>
    <xf numFmtId="0" fontId="20" fillId="3" borderId="15" xfId="0" applyFont="1" applyFill="1" applyBorder="1" applyAlignment="1">
      <alignment horizontal="center" vertical="center" wrapText="1"/>
    </xf>
    <xf numFmtId="0" fontId="20" fillId="3" borderId="16" xfId="0" applyFont="1" applyFill="1" applyBorder="1" applyAlignment="1">
      <alignment horizontal="center" vertical="center" wrapText="1"/>
    </xf>
    <xf numFmtId="0" fontId="20" fillId="3" borderId="21" xfId="0" applyFont="1" applyFill="1" applyBorder="1" applyAlignment="1">
      <alignment horizontal="center" vertical="center" wrapText="1"/>
    </xf>
    <xf numFmtId="0" fontId="20" fillId="3" borderId="0" xfId="0" applyFont="1" applyFill="1" applyBorder="1" applyAlignment="1">
      <alignment horizontal="center" vertical="center" wrapText="1"/>
    </xf>
    <xf numFmtId="0" fontId="20" fillId="3" borderId="22" xfId="0" applyFont="1" applyFill="1" applyBorder="1" applyAlignment="1">
      <alignment horizontal="center" vertical="center" wrapText="1"/>
    </xf>
    <xf numFmtId="0" fontId="20" fillId="3" borderId="23" xfId="0" applyFont="1" applyFill="1" applyBorder="1" applyAlignment="1">
      <alignment horizontal="center" vertical="center" wrapText="1"/>
    </xf>
    <xf numFmtId="0" fontId="20" fillId="3" borderId="17" xfId="0" applyFont="1" applyFill="1" applyBorder="1" applyAlignment="1">
      <alignment horizontal="center" vertical="center" wrapText="1"/>
    </xf>
    <xf numFmtId="0" fontId="20" fillId="3" borderId="18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7" xfId="0" applyFont="1" applyFill="1" applyBorder="1" applyAlignment="1">
      <alignment horizontal="center" vertical="center" wrapText="1"/>
    </xf>
    <xf numFmtId="0" fontId="21" fillId="22" borderId="9" xfId="0" applyFont="1" applyFill="1" applyBorder="1" applyAlignment="1">
      <alignment horizontal="center" vertical="center" wrapText="1"/>
    </xf>
    <xf numFmtId="0" fontId="21" fillId="22" borderId="10" xfId="0" applyFont="1" applyFill="1" applyBorder="1" applyAlignment="1">
      <alignment horizontal="center" vertical="center" wrapText="1"/>
    </xf>
    <xf numFmtId="0" fontId="21" fillId="22" borderId="11" xfId="0" applyFont="1" applyFill="1" applyBorder="1" applyAlignment="1">
      <alignment horizontal="center" vertical="center" wrapText="1"/>
    </xf>
    <xf numFmtId="0" fontId="22" fillId="37" borderId="20" xfId="0" applyFont="1" applyFill="1" applyBorder="1" applyAlignment="1">
      <alignment horizontal="center" vertical="center" wrapText="1"/>
    </xf>
    <xf numFmtId="0" fontId="22" fillId="37" borderId="15" xfId="0" applyFont="1" applyFill="1" applyBorder="1" applyAlignment="1">
      <alignment horizontal="center" vertical="center" wrapText="1"/>
    </xf>
    <xf numFmtId="0" fontId="22" fillId="37" borderId="16" xfId="0" applyFont="1" applyFill="1" applyBorder="1" applyAlignment="1">
      <alignment horizontal="center" vertical="center" wrapText="1"/>
    </xf>
    <xf numFmtId="0" fontId="22" fillId="37" borderId="21" xfId="0" applyFont="1" applyFill="1" applyBorder="1" applyAlignment="1">
      <alignment horizontal="center" vertical="center" wrapText="1"/>
    </xf>
    <xf numFmtId="0" fontId="22" fillId="37" borderId="0" xfId="0" applyFont="1" applyFill="1" applyBorder="1" applyAlignment="1">
      <alignment horizontal="center" vertical="center" wrapText="1"/>
    </xf>
    <xf numFmtId="0" fontId="22" fillId="37" borderId="22" xfId="0" applyFont="1" applyFill="1" applyBorder="1" applyAlignment="1">
      <alignment horizontal="center" vertical="center" wrapText="1"/>
    </xf>
    <xf numFmtId="0" fontId="22" fillId="37" borderId="23" xfId="0" applyFont="1" applyFill="1" applyBorder="1" applyAlignment="1">
      <alignment horizontal="center" vertical="center" wrapText="1"/>
    </xf>
    <xf numFmtId="0" fontId="22" fillId="37" borderId="17" xfId="0" applyFont="1" applyFill="1" applyBorder="1" applyAlignment="1">
      <alignment horizontal="center" vertical="center" wrapText="1"/>
    </xf>
    <xf numFmtId="0" fontId="22" fillId="37" borderId="18" xfId="0" applyFont="1" applyFill="1" applyBorder="1" applyAlignment="1">
      <alignment horizontal="center" vertical="center" wrapText="1"/>
    </xf>
    <xf numFmtId="0" fontId="2" fillId="40" borderId="15" xfId="0" applyFont="1" applyFill="1" applyBorder="1" applyAlignment="1">
      <alignment horizontal="center" vertical="center" wrapText="1"/>
    </xf>
    <xf numFmtId="0" fontId="2" fillId="40" borderId="16" xfId="0" applyFont="1" applyFill="1" applyBorder="1" applyAlignment="1">
      <alignment horizontal="center" vertical="center" wrapText="1"/>
    </xf>
    <xf numFmtId="0" fontId="2" fillId="40" borderId="20" xfId="0" applyFont="1" applyFill="1" applyBorder="1" applyAlignment="1">
      <alignment horizontal="center" vertical="center" wrapText="1"/>
    </xf>
    <xf numFmtId="0" fontId="2" fillId="40" borderId="23" xfId="0" applyFont="1" applyFill="1" applyBorder="1" applyAlignment="1">
      <alignment horizontal="center" vertical="center" wrapText="1"/>
    </xf>
    <xf numFmtId="0" fontId="2" fillId="40" borderId="17" xfId="0" applyFont="1" applyFill="1" applyBorder="1" applyAlignment="1">
      <alignment horizontal="center" vertical="center" wrapText="1"/>
    </xf>
    <xf numFmtId="0" fontId="2" fillId="40" borderId="18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99"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theme="1"/>
      </font>
    </dxf>
    <dxf>
      <font>
        <color theme="0"/>
      </font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rgb="FF339933"/>
      </font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ill>
        <patternFill patternType="none">
          <bgColor auto="1"/>
        </patternFill>
      </fill>
      <border>
        <vertical/>
        <horizontal/>
      </border>
    </dxf>
    <dxf>
      <font>
        <color rgb="FF626262"/>
      </font>
      <fill>
        <patternFill>
          <bgColor rgb="FF626262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rgb="FF009644"/>
      </font>
    </dxf>
    <dxf>
      <font>
        <color rgb="FFC00000"/>
      </font>
    </dxf>
    <dxf>
      <font>
        <color rgb="FF009644"/>
      </font>
    </dxf>
    <dxf>
      <font>
        <color rgb="FFCC000A"/>
      </font>
    </dxf>
    <dxf>
      <font>
        <color rgb="FF009644"/>
      </font>
    </dxf>
    <dxf>
      <font>
        <color rgb="FFCC000A"/>
      </font>
    </dxf>
    <dxf>
      <font>
        <color rgb="FF009644"/>
      </font>
    </dxf>
  </dxfs>
  <tableStyles count="0" defaultTableStyle="TableStyleMedium2" defaultPivotStyle="PivotStyleLight16"/>
  <colors>
    <mruColors>
      <color rgb="FFF4EE00"/>
      <color rgb="FFCEF68E"/>
      <color rgb="FF9B47E7"/>
      <color rgb="FFA688FC"/>
      <color rgb="FFFDF2A1"/>
      <color rgb="FF83B3A2"/>
      <color rgb="FFC64302"/>
      <color rgb="FFFEC6C6"/>
      <color rgb="FFE6FFB3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21</xdr:row>
      <xdr:rowOff>8965</xdr:rowOff>
    </xdr:from>
    <xdr:to>
      <xdr:col>3</xdr:col>
      <xdr:colOff>609599</xdr:colOff>
      <xdr:row>27</xdr:row>
      <xdr:rowOff>161364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7BB0041-CD33-7BB1-8447-DDC7ADCFE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3908612"/>
          <a:ext cx="1828799" cy="12640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4E37A-14C1-4F4D-8103-AFDF95E8EFB6}">
  <sheetPr codeName="Planilha1"/>
  <dimension ref="A1:BY116"/>
  <sheetViews>
    <sheetView tabSelected="1" topLeftCell="B1" zoomScaleNormal="100" workbookViewId="0">
      <selection activeCell="E6" sqref="E6"/>
    </sheetView>
  </sheetViews>
  <sheetFormatPr defaultRowHeight="14.4" x14ac:dyDescent="0.3"/>
  <cols>
    <col min="29" max="29" width="9.109375" customWidth="1"/>
  </cols>
  <sheetData>
    <row r="1" spans="1:77" ht="15" thickBot="1" x14ac:dyDescent="0.3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</row>
    <row r="2" spans="1:77" ht="15" customHeight="1" thickTop="1" thickBot="1" x14ac:dyDescent="0.35">
      <c r="A2" s="10"/>
      <c r="B2" s="465" t="s">
        <v>245</v>
      </c>
      <c r="C2" s="466"/>
      <c r="D2" s="467"/>
      <c r="E2" s="10"/>
      <c r="F2" s="380" t="s">
        <v>6</v>
      </c>
      <c r="G2" s="381"/>
      <c r="H2" s="354" t="s">
        <v>0</v>
      </c>
      <c r="I2" s="355"/>
      <c r="J2" s="355"/>
      <c r="K2" s="355"/>
      <c r="L2" s="355"/>
      <c r="M2" s="355"/>
      <c r="N2" s="355"/>
      <c r="O2" s="356"/>
      <c r="P2" s="363" t="s">
        <v>19</v>
      </c>
      <c r="Q2" s="202"/>
      <c r="R2" s="366" cm="1">
        <f t="array" aca="1" ref="R2" ca="1">CountCellsByColor(H2:O57, P2)*3/4</f>
        <v>0</v>
      </c>
      <c r="S2" s="369" t="str">
        <f>IF(P27=0, "/ 12", "/ 9")</f>
        <v>/ 12</v>
      </c>
      <c r="T2" s="245" t="s">
        <v>116</v>
      </c>
      <c r="U2" s="246"/>
      <c r="V2" s="372" t="s">
        <v>9</v>
      </c>
      <c r="W2" s="372"/>
      <c r="X2" s="372"/>
      <c r="Y2" s="373"/>
      <c r="Z2" s="199" t="s">
        <v>24</v>
      </c>
      <c r="AA2" s="254" t="s">
        <v>14</v>
      </c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6"/>
      <c r="AM2" s="156" t="s">
        <v>15</v>
      </c>
      <c r="AN2" s="157"/>
      <c r="AO2" s="157"/>
      <c r="AP2" s="157"/>
      <c r="AQ2" s="157"/>
      <c r="AR2" s="157"/>
      <c r="AS2" s="157"/>
      <c r="AT2" s="157"/>
      <c r="AU2" s="157"/>
      <c r="AV2" s="157"/>
      <c r="AW2" s="157"/>
      <c r="AX2" s="157"/>
      <c r="AY2" s="245" t="s">
        <v>119</v>
      </c>
      <c r="AZ2" s="246"/>
      <c r="BA2" s="199" t="s">
        <v>24</v>
      </c>
      <c r="BB2" s="239" t="s">
        <v>129</v>
      </c>
      <c r="BC2" s="240"/>
      <c r="BD2" s="240"/>
      <c r="BE2" s="240"/>
      <c r="BF2" s="240"/>
      <c r="BG2" s="240"/>
      <c r="BH2" s="240"/>
      <c r="BI2" s="241"/>
      <c r="BJ2" s="226" t="s">
        <v>130</v>
      </c>
      <c r="BK2" s="227"/>
      <c r="BL2" s="227"/>
      <c r="BM2" s="227"/>
      <c r="BN2" s="227"/>
      <c r="BO2" s="227"/>
      <c r="BP2" s="227"/>
      <c r="BQ2" s="228"/>
      <c r="BR2" s="232" t="s">
        <v>137</v>
      </c>
      <c r="BS2" s="233"/>
      <c r="BT2" s="233"/>
      <c r="BU2" s="233"/>
      <c r="BV2" s="233"/>
      <c r="BW2" s="233"/>
      <c r="BX2" s="233"/>
      <c r="BY2" s="234"/>
    </row>
    <row r="3" spans="1:77" ht="15" customHeight="1" thickBot="1" x14ac:dyDescent="0.35">
      <c r="A3" s="10"/>
      <c r="B3" s="468"/>
      <c r="C3" s="469"/>
      <c r="D3" s="470"/>
      <c r="E3" s="10"/>
      <c r="F3" s="382" t="s">
        <v>7</v>
      </c>
      <c r="G3" s="383"/>
      <c r="H3" s="357"/>
      <c r="I3" s="358"/>
      <c r="J3" s="358"/>
      <c r="K3" s="358"/>
      <c r="L3" s="358"/>
      <c r="M3" s="358"/>
      <c r="N3" s="358"/>
      <c r="O3" s="359"/>
      <c r="P3" s="203"/>
      <c r="Q3" s="204"/>
      <c r="R3" s="367"/>
      <c r="S3" s="370"/>
      <c r="T3" s="148" t="s">
        <v>121</v>
      </c>
      <c r="U3" s="149"/>
      <c r="V3" s="374"/>
      <c r="W3" s="374"/>
      <c r="X3" s="374"/>
      <c r="Y3" s="375"/>
      <c r="Z3" s="200"/>
      <c r="AA3" s="257"/>
      <c r="AB3" s="258"/>
      <c r="AC3" s="258"/>
      <c r="AD3" s="258"/>
      <c r="AE3" s="258"/>
      <c r="AF3" s="258"/>
      <c r="AG3" s="258"/>
      <c r="AH3" s="258"/>
      <c r="AI3" s="258"/>
      <c r="AJ3" s="258"/>
      <c r="AK3" s="258"/>
      <c r="AL3" s="259"/>
      <c r="AM3" s="158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46" t="s">
        <v>120</v>
      </c>
      <c r="AZ3" s="147"/>
      <c r="BA3" s="200"/>
      <c r="BB3" s="242"/>
      <c r="BC3" s="243"/>
      <c r="BD3" s="243"/>
      <c r="BE3" s="243"/>
      <c r="BF3" s="243"/>
      <c r="BG3" s="243"/>
      <c r="BH3" s="243"/>
      <c r="BI3" s="244"/>
      <c r="BJ3" s="229"/>
      <c r="BK3" s="230"/>
      <c r="BL3" s="230"/>
      <c r="BM3" s="230"/>
      <c r="BN3" s="230"/>
      <c r="BO3" s="230"/>
      <c r="BP3" s="230"/>
      <c r="BQ3" s="231"/>
      <c r="BR3" s="235"/>
      <c r="BS3" s="236"/>
      <c r="BT3" s="236"/>
      <c r="BU3" s="236"/>
      <c r="BV3" s="236"/>
      <c r="BW3" s="236"/>
      <c r="BX3" s="236"/>
      <c r="BY3" s="237"/>
    </row>
    <row r="4" spans="1:77" ht="15" customHeight="1" thickBot="1" x14ac:dyDescent="0.35">
      <c r="A4" s="10"/>
      <c r="B4" s="471"/>
      <c r="C4" s="472"/>
      <c r="D4" s="473"/>
      <c r="E4" s="10"/>
      <c r="F4" s="348" t="s">
        <v>9</v>
      </c>
      <c r="G4" s="349"/>
      <c r="H4" s="360"/>
      <c r="I4" s="361"/>
      <c r="J4" s="361"/>
      <c r="K4" s="361"/>
      <c r="L4" s="361"/>
      <c r="M4" s="361"/>
      <c r="N4" s="361"/>
      <c r="O4" s="362"/>
      <c r="P4" s="205"/>
      <c r="Q4" s="206"/>
      <c r="R4" s="368"/>
      <c r="S4" s="371"/>
      <c r="T4" s="21"/>
      <c r="U4" s="29"/>
      <c r="V4" s="350" t="s">
        <v>10</v>
      </c>
      <c r="W4" s="350"/>
      <c r="X4" s="350"/>
      <c r="Y4" s="351"/>
      <c r="Z4" s="110" t="s">
        <v>28</v>
      </c>
      <c r="AA4" s="101" t="s">
        <v>27</v>
      </c>
      <c r="AB4" s="102"/>
      <c r="AC4" s="101" t="s">
        <v>33</v>
      </c>
      <c r="AD4" s="102"/>
      <c r="AE4" s="101" t="s">
        <v>32</v>
      </c>
      <c r="AF4" s="102"/>
      <c r="AG4" s="6"/>
      <c r="AH4" s="6"/>
      <c r="AI4" s="6"/>
      <c r="AJ4" s="6"/>
      <c r="AK4" s="6"/>
      <c r="AL4" s="6"/>
      <c r="AM4" s="103" t="s">
        <v>44</v>
      </c>
      <c r="AN4" s="104"/>
      <c r="AO4" s="103" t="s">
        <v>25</v>
      </c>
      <c r="AP4" s="104"/>
      <c r="AQ4" s="103" t="s">
        <v>45</v>
      </c>
      <c r="AR4" s="104"/>
      <c r="AS4" s="103" t="s">
        <v>46</v>
      </c>
      <c r="AT4" s="104"/>
      <c r="AU4" s="10"/>
      <c r="AV4" s="10"/>
      <c r="AW4" s="10"/>
      <c r="AX4" s="10"/>
      <c r="AY4" s="21"/>
      <c r="AZ4" s="29"/>
      <c r="BA4" s="211" t="s">
        <v>28</v>
      </c>
      <c r="BB4" s="52" t="s">
        <v>122</v>
      </c>
      <c r="BC4" s="53"/>
      <c r="BD4" s="52" t="s">
        <v>123</v>
      </c>
      <c r="BE4" s="53"/>
      <c r="BF4" s="52" t="s">
        <v>126</v>
      </c>
      <c r="BG4" s="53"/>
      <c r="BH4" s="9"/>
      <c r="BI4" s="3"/>
      <c r="BJ4" s="52" t="s">
        <v>131</v>
      </c>
      <c r="BK4" s="53"/>
      <c r="BL4" s="9"/>
      <c r="BM4" s="9"/>
      <c r="BN4" s="9"/>
      <c r="BO4" s="9"/>
      <c r="BP4" s="9"/>
      <c r="BQ4" s="3"/>
      <c r="BR4" s="52" t="s">
        <v>142</v>
      </c>
      <c r="BS4" s="53"/>
      <c r="BT4" s="9"/>
      <c r="BU4" s="9"/>
      <c r="BV4" s="9"/>
      <c r="BW4" s="9"/>
      <c r="BX4" s="9"/>
      <c r="BY4" s="3"/>
    </row>
    <row r="5" spans="1:77" ht="15" customHeight="1" thickTop="1" thickBot="1" x14ac:dyDescent="0.35">
      <c r="A5" s="10"/>
      <c r="B5" s="119" t="s">
        <v>208</v>
      </c>
      <c r="C5" s="120"/>
      <c r="D5" s="121"/>
      <c r="E5" s="10"/>
      <c r="F5" s="364" t="s">
        <v>8</v>
      </c>
      <c r="G5" s="365"/>
      <c r="H5" s="307" t="s">
        <v>1</v>
      </c>
      <c r="I5" s="308"/>
      <c r="J5" s="308"/>
      <c r="K5" s="308"/>
      <c r="L5" s="308"/>
      <c r="M5" s="308"/>
      <c r="N5" s="308"/>
      <c r="O5" s="309"/>
      <c r="P5" s="300" t="s">
        <v>20</v>
      </c>
      <c r="Q5" s="102"/>
      <c r="R5" s="304" cm="1">
        <f t="array" aca="1" ref="R5" ca="1">IF(OR(AND(CountCellsByColor(H2:O57, P5)*3/4 &lt; 48,P27=0),AND(CountCellsByColor(H2:O57, P5)*3/4 &lt; 60,P27=1)), CountCellsByColor(H2:O57, P5)*3/4, W18)</f>
        <v>0</v>
      </c>
      <c r="S5" s="301" t="str">
        <f>CONCATENATE("/ ", W18)</f>
        <v>/ 48</v>
      </c>
      <c r="T5" s="384" t="s">
        <v>92</v>
      </c>
      <c r="U5" s="385"/>
      <c r="V5" s="352"/>
      <c r="W5" s="352"/>
      <c r="X5" s="352"/>
      <c r="Y5" s="353"/>
      <c r="Z5" s="111"/>
      <c r="AA5" s="103"/>
      <c r="AB5" s="104"/>
      <c r="AC5" s="103"/>
      <c r="AD5" s="104"/>
      <c r="AE5" s="103"/>
      <c r="AF5" s="104"/>
      <c r="AG5" s="6"/>
      <c r="AH5" s="6"/>
      <c r="AI5" s="6"/>
      <c r="AJ5" s="6"/>
      <c r="AK5" s="6"/>
      <c r="AL5" s="6"/>
      <c r="AM5" s="103"/>
      <c r="AN5" s="104"/>
      <c r="AO5" s="103"/>
      <c r="AP5" s="104"/>
      <c r="AQ5" s="103"/>
      <c r="AR5" s="104"/>
      <c r="AS5" s="103"/>
      <c r="AT5" s="104"/>
      <c r="AU5" s="10"/>
      <c r="AV5" s="10"/>
      <c r="AW5" s="10"/>
      <c r="AX5" s="10"/>
      <c r="AY5" s="25"/>
      <c r="AZ5" s="26"/>
      <c r="BA5" s="238"/>
      <c r="BB5" s="54"/>
      <c r="BC5" s="55"/>
      <c r="BD5" s="54"/>
      <c r="BE5" s="55"/>
      <c r="BF5" s="54"/>
      <c r="BG5" s="55"/>
      <c r="BH5" s="10"/>
      <c r="BI5" s="5"/>
      <c r="BJ5" s="54"/>
      <c r="BK5" s="55"/>
      <c r="BL5" s="10"/>
      <c r="BM5" s="10"/>
      <c r="BN5" s="10"/>
      <c r="BO5" s="10"/>
      <c r="BP5" s="10"/>
      <c r="BQ5" s="5"/>
      <c r="BR5" s="54"/>
      <c r="BS5" s="55"/>
      <c r="BT5" s="10"/>
      <c r="BU5" s="10"/>
      <c r="BV5" s="10"/>
      <c r="BW5" s="10"/>
      <c r="BX5" s="10"/>
      <c r="BY5" s="5"/>
    </row>
    <row r="6" spans="1:77" ht="15.6" customHeight="1" thickTop="1" thickBot="1" x14ac:dyDescent="0.35">
      <c r="A6" s="10"/>
      <c r="B6" s="85" t="s">
        <v>247</v>
      </c>
      <c r="C6" s="86"/>
      <c r="D6" s="87"/>
      <c r="E6" s="10"/>
      <c r="F6" s="376" t="s">
        <v>180</v>
      </c>
      <c r="G6" s="377"/>
      <c r="H6" s="310"/>
      <c r="I6" s="311"/>
      <c r="J6" s="311"/>
      <c r="K6" s="311"/>
      <c r="L6" s="311"/>
      <c r="M6" s="311"/>
      <c r="N6" s="311"/>
      <c r="O6" s="312"/>
      <c r="P6" s="103"/>
      <c r="Q6" s="104"/>
      <c r="R6" s="305"/>
      <c r="S6" s="302"/>
      <c r="T6" s="148"/>
      <c r="U6" s="149"/>
      <c r="V6" s="201" t="s">
        <v>62</v>
      </c>
      <c r="W6" s="201"/>
      <c r="X6" s="201"/>
      <c r="Y6" s="202"/>
      <c r="Z6" s="111"/>
      <c r="AA6" s="103"/>
      <c r="AB6" s="104"/>
      <c r="AC6" s="103"/>
      <c r="AD6" s="104"/>
      <c r="AE6" s="103"/>
      <c r="AF6" s="104"/>
      <c r="AG6" s="6"/>
      <c r="AH6" s="6"/>
      <c r="AI6" s="6"/>
      <c r="AJ6" s="6"/>
      <c r="AK6" s="6"/>
      <c r="AL6" s="6"/>
      <c r="AM6" s="103"/>
      <c r="AN6" s="104"/>
      <c r="AO6" s="103"/>
      <c r="AP6" s="104"/>
      <c r="AQ6" s="103"/>
      <c r="AR6" s="104"/>
      <c r="AS6" s="103"/>
      <c r="AT6" s="104"/>
      <c r="AU6" s="10"/>
      <c r="AV6" s="10"/>
      <c r="AW6" s="10"/>
      <c r="AX6" s="10"/>
      <c r="AY6" s="25"/>
      <c r="AZ6" s="26"/>
      <c r="BA6" s="238"/>
      <c r="BB6" s="54"/>
      <c r="BC6" s="55"/>
      <c r="BD6" s="54"/>
      <c r="BE6" s="55"/>
      <c r="BF6" s="54"/>
      <c r="BG6" s="55"/>
      <c r="BH6" s="10"/>
      <c r="BI6" s="5"/>
      <c r="BJ6" s="54"/>
      <c r="BK6" s="55"/>
      <c r="BL6" s="10"/>
      <c r="BM6" s="10"/>
      <c r="BN6" s="10"/>
      <c r="BO6" s="10"/>
      <c r="BP6" s="10"/>
      <c r="BQ6" s="5"/>
      <c r="BR6" s="54"/>
      <c r="BS6" s="55"/>
      <c r="BT6" s="10"/>
      <c r="BU6" s="10"/>
      <c r="BV6" s="10"/>
      <c r="BW6" s="10"/>
      <c r="BX6" s="10"/>
      <c r="BY6" s="5"/>
    </row>
    <row r="7" spans="1:77" ht="15" thickBot="1" x14ac:dyDescent="0.35">
      <c r="A7" s="10"/>
      <c r="B7" s="88"/>
      <c r="C7" s="89"/>
      <c r="D7" s="90"/>
      <c r="E7" s="10"/>
      <c r="F7" s="378" t="s">
        <v>22</v>
      </c>
      <c r="G7" s="379"/>
      <c r="H7" s="260" t="s">
        <v>2</v>
      </c>
      <c r="I7" s="261"/>
      <c r="J7" s="260" t="s">
        <v>3</v>
      </c>
      <c r="K7" s="261"/>
      <c r="L7" s="260" t="s">
        <v>4</v>
      </c>
      <c r="M7" s="261"/>
      <c r="N7" s="260" t="s">
        <v>5</v>
      </c>
      <c r="O7" s="261"/>
      <c r="P7" s="105"/>
      <c r="Q7" s="106"/>
      <c r="R7" s="306"/>
      <c r="S7" s="303"/>
      <c r="T7" s="386"/>
      <c r="U7" s="387"/>
      <c r="V7" s="205"/>
      <c r="W7" s="205"/>
      <c r="X7" s="205"/>
      <c r="Y7" s="206"/>
      <c r="Z7" s="112"/>
      <c r="AA7" s="105"/>
      <c r="AB7" s="106"/>
      <c r="AC7" s="105"/>
      <c r="AD7" s="106"/>
      <c r="AE7" s="105"/>
      <c r="AF7" s="106"/>
      <c r="AG7" s="6"/>
      <c r="AH7" s="6"/>
      <c r="AI7" s="6"/>
      <c r="AJ7" s="6"/>
      <c r="AK7" s="6"/>
      <c r="AL7" s="6"/>
      <c r="AM7" s="105"/>
      <c r="AN7" s="106"/>
      <c r="AO7" s="105"/>
      <c r="AP7" s="106"/>
      <c r="AQ7" s="105"/>
      <c r="AR7" s="106"/>
      <c r="AS7" s="105"/>
      <c r="AT7" s="106"/>
      <c r="AU7" s="10"/>
      <c r="AV7" s="10"/>
      <c r="AW7" s="10"/>
      <c r="AX7" s="10"/>
      <c r="AY7" s="25"/>
      <c r="AZ7" s="26"/>
      <c r="BA7" s="212"/>
      <c r="BB7" s="56"/>
      <c r="BC7" s="57"/>
      <c r="BD7" s="56"/>
      <c r="BE7" s="57"/>
      <c r="BF7" s="56"/>
      <c r="BG7" s="57"/>
      <c r="BH7" s="10"/>
      <c r="BI7" s="5"/>
      <c r="BJ7" s="56"/>
      <c r="BK7" s="57"/>
      <c r="BL7" s="10"/>
      <c r="BM7" s="10"/>
      <c r="BN7" s="10"/>
      <c r="BO7" s="10"/>
      <c r="BP7" s="10"/>
      <c r="BQ7" s="5"/>
      <c r="BR7" s="56"/>
      <c r="BS7" s="57"/>
      <c r="BT7" s="10"/>
      <c r="BU7" s="10"/>
      <c r="BV7" s="10"/>
      <c r="BW7" s="10"/>
      <c r="BX7" s="10"/>
      <c r="BY7" s="5"/>
    </row>
    <row r="8" spans="1:77" ht="14.4" customHeight="1" thickTop="1" x14ac:dyDescent="0.3">
      <c r="A8" s="10"/>
      <c r="B8" s="480" t="s">
        <v>193</v>
      </c>
      <c r="C8" s="481"/>
      <c r="D8" s="482"/>
      <c r="E8" s="10"/>
      <c r="F8" s="180" t="s">
        <v>12</v>
      </c>
      <c r="G8" s="180" t="s">
        <v>13</v>
      </c>
      <c r="H8" s="20"/>
      <c r="I8" s="20"/>
      <c r="J8" s="20"/>
      <c r="K8" s="20"/>
      <c r="L8" s="20"/>
      <c r="M8" s="20"/>
      <c r="N8" s="20"/>
      <c r="O8" s="16"/>
      <c r="P8" s="288" t="s">
        <v>21</v>
      </c>
      <c r="Q8" s="289"/>
      <c r="R8" s="297" cm="1">
        <f t="array" aca="1" ref="R8" ca="1">IF(OR(AND(CountCellsByColor(H2:O57, P5)*3/4 &gt; 48,P27=0),AND(CountCellsByColor(H2:O57, P5)*3/4 &gt; 60,P27=1)), CountCellsByColor(H2:O57, P5)*3/4 - W18, 0)</f>
        <v>0</v>
      </c>
      <c r="S8" s="294" t="str">
        <f>CONCATENATE("/ ", X18)</f>
        <v>/ 30</v>
      </c>
      <c r="T8" s="388" t="s">
        <v>183</v>
      </c>
      <c r="U8" s="389"/>
      <c r="V8" s="201" t="s">
        <v>23</v>
      </c>
      <c r="W8" s="201"/>
      <c r="X8" s="201"/>
      <c r="Y8" s="202"/>
      <c r="Z8" s="110" t="s">
        <v>29</v>
      </c>
      <c r="AA8" s="101" t="s">
        <v>34</v>
      </c>
      <c r="AB8" s="102"/>
      <c r="AC8" s="101" t="s">
        <v>36</v>
      </c>
      <c r="AD8" s="102"/>
      <c r="AE8" s="101" t="s">
        <v>35</v>
      </c>
      <c r="AF8" s="102"/>
      <c r="AG8" s="101" t="s">
        <v>37</v>
      </c>
      <c r="AH8" s="102"/>
      <c r="AI8" s="101" t="s">
        <v>39</v>
      </c>
      <c r="AJ8" s="102"/>
      <c r="AK8" s="101" t="s">
        <v>38</v>
      </c>
      <c r="AL8" s="102"/>
      <c r="AM8" s="101" t="s">
        <v>47</v>
      </c>
      <c r="AN8" s="102"/>
      <c r="AO8" s="101" t="s">
        <v>49</v>
      </c>
      <c r="AP8" s="102"/>
      <c r="AQ8" s="101" t="s">
        <v>48</v>
      </c>
      <c r="AR8" s="102"/>
      <c r="AS8" s="101" t="s">
        <v>50</v>
      </c>
      <c r="AT8" s="102"/>
      <c r="AU8" s="10"/>
      <c r="AV8" s="10"/>
      <c r="AW8" s="10"/>
      <c r="AX8" s="10"/>
      <c r="AY8" s="25"/>
      <c r="AZ8" s="26"/>
      <c r="BA8" s="211" t="s">
        <v>29</v>
      </c>
      <c r="BB8" s="52" t="s">
        <v>124</v>
      </c>
      <c r="BC8" s="53"/>
      <c r="BD8" s="52" t="s">
        <v>125</v>
      </c>
      <c r="BE8" s="53"/>
      <c r="BF8" s="52" t="s">
        <v>128</v>
      </c>
      <c r="BG8" s="53"/>
      <c r="BH8" s="10"/>
      <c r="BI8" s="5"/>
      <c r="BJ8" s="52" t="s">
        <v>133</v>
      </c>
      <c r="BK8" s="53"/>
      <c r="BL8" s="52" t="s">
        <v>134</v>
      </c>
      <c r="BM8" s="53"/>
      <c r="BN8" s="52" t="s">
        <v>136</v>
      </c>
      <c r="BO8" s="53"/>
      <c r="BP8" s="10"/>
      <c r="BQ8" s="5"/>
      <c r="BR8" s="52" t="s">
        <v>143</v>
      </c>
      <c r="BS8" s="53"/>
      <c r="BT8" s="10"/>
      <c r="BU8" s="10"/>
      <c r="BV8" s="10"/>
      <c r="BW8" s="10"/>
      <c r="BX8" s="10"/>
      <c r="BY8" s="5"/>
    </row>
    <row r="9" spans="1:77" ht="14.4" customHeight="1" thickBot="1" x14ac:dyDescent="0.35">
      <c r="A9" s="10"/>
      <c r="B9" s="483"/>
      <c r="C9" s="484"/>
      <c r="D9" s="485"/>
      <c r="E9" s="10"/>
      <c r="F9" s="182"/>
      <c r="G9" s="181"/>
      <c r="H9" s="20"/>
      <c r="I9" s="20"/>
      <c r="J9" s="20"/>
      <c r="K9" s="20"/>
      <c r="L9" s="20"/>
      <c r="M9" s="20"/>
      <c r="N9" s="20"/>
      <c r="O9" s="16"/>
      <c r="P9" s="290"/>
      <c r="Q9" s="291"/>
      <c r="R9" s="298"/>
      <c r="S9" s="295"/>
      <c r="T9" s="390"/>
      <c r="U9" s="391"/>
      <c r="V9" s="205"/>
      <c r="W9" s="205"/>
      <c r="X9" s="205"/>
      <c r="Y9" s="206"/>
      <c r="Z9" s="111"/>
      <c r="AA9" s="103"/>
      <c r="AB9" s="104"/>
      <c r="AC9" s="103"/>
      <c r="AD9" s="104"/>
      <c r="AE9" s="103"/>
      <c r="AF9" s="104"/>
      <c r="AG9" s="103"/>
      <c r="AH9" s="104"/>
      <c r="AI9" s="103"/>
      <c r="AJ9" s="104"/>
      <c r="AK9" s="103"/>
      <c r="AL9" s="104"/>
      <c r="AM9" s="103"/>
      <c r="AN9" s="104"/>
      <c r="AO9" s="103"/>
      <c r="AP9" s="104"/>
      <c r="AQ9" s="103"/>
      <c r="AR9" s="104"/>
      <c r="AS9" s="103"/>
      <c r="AT9" s="104"/>
      <c r="AU9" s="10"/>
      <c r="AV9" s="10"/>
      <c r="AW9" s="10"/>
      <c r="AX9" s="10"/>
      <c r="AY9" s="25"/>
      <c r="AZ9" s="26"/>
      <c r="BA9" s="238"/>
      <c r="BB9" s="54"/>
      <c r="BC9" s="55"/>
      <c r="BD9" s="54"/>
      <c r="BE9" s="55"/>
      <c r="BF9" s="54"/>
      <c r="BG9" s="55"/>
      <c r="BH9" s="10"/>
      <c r="BI9" s="5"/>
      <c r="BJ9" s="54"/>
      <c r="BK9" s="55"/>
      <c r="BL9" s="56"/>
      <c r="BM9" s="57"/>
      <c r="BN9" s="56"/>
      <c r="BO9" s="57"/>
      <c r="BP9" s="10"/>
      <c r="BQ9" s="5"/>
      <c r="BR9" s="54"/>
      <c r="BS9" s="55"/>
      <c r="BT9" s="10"/>
      <c r="BU9" s="10"/>
      <c r="BV9" s="10"/>
      <c r="BW9" s="10"/>
      <c r="BX9" s="10"/>
      <c r="BY9" s="5"/>
    </row>
    <row r="10" spans="1:77" ht="15" customHeight="1" thickBot="1" x14ac:dyDescent="0.35">
      <c r="A10" s="10"/>
      <c r="B10" s="486"/>
      <c r="C10" s="487"/>
      <c r="D10" s="488"/>
      <c r="E10" s="10"/>
      <c r="F10" s="1"/>
      <c r="G10" s="181"/>
      <c r="H10" s="20"/>
      <c r="J10" s="20"/>
      <c r="K10" s="20"/>
      <c r="L10" s="20"/>
      <c r="M10" s="20"/>
      <c r="N10" s="20"/>
      <c r="O10" s="16"/>
      <c r="P10" s="292"/>
      <c r="Q10" s="293"/>
      <c r="R10" s="299"/>
      <c r="S10" s="296"/>
      <c r="T10" s="326" t="s">
        <v>184</v>
      </c>
      <c r="U10" s="327"/>
      <c r="V10" s="282" t="s">
        <v>22</v>
      </c>
      <c r="W10" s="283"/>
      <c r="X10" s="283"/>
      <c r="Y10" s="284"/>
      <c r="Z10" s="111"/>
      <c r="AA10" s="103"/>
      <c r="AB10" s="104"/>
      <c r="AC10" s="103"/>
      <c r="AD10" s="104"/>
      <c r="AE10" s="103"/>
      <c r="AF10" s="104"/>
      <c r="AG10" s="103"/>
      <c r="AH10" s="104"/>
      <c r="AI10" s="103"/>
      <c r="AJ10" s="104"/>
      <c r="AK10" s="103"/>
      <c r="AL10" s="104"/>
      <c r="AM10" s="103"/>
      <c r="AN10" s="104"/>
      <c r="AO10" s="103"/>
      <c r="AP10" s="104"/>
      <c r="AQ10" s="103"/>
      <c r="AR10" s="104"/>
      <c r="AS10" s="103"/>
      <c r="AT10" s="104"/>
      <c r="AU10" s="10"/>
      <c r="AV10" s="10"/>
      <c r="AW10" s="10"/>
      <c r="AX10" s="10"/>
      <c r="AY10" s="25"/>
      <c r="AZ10" s="26"/>
      <c r="BA10" s="238"/>
      <c r="BB10" s="54"/>
      <c r="BC10" s="55"/>
      <c r="BD10" s="54"/>
      <c r="BE10" s="55"/>
      <c r="BF10" s="54"/>
      <c r="BG10" s="55"/>
      <c r="BH10" s="10"/>
      <c r="BI10" s="5"/>
      <c r="BJ10" s="54"/>
      <c r="BK10" s="55"/>
      <c r="BL10" s="10"/>
      <c r="BM10" s="10"/>
      <c r="BN10" s="10"/>
      <c r="BO10" s="10"/>
      <c r="BP10" s="10"/>
      <c r="BQ10" s="5"/>
      <c r="BR10" s="54"/>
      <c r="BS10" s="55"/>
      <c r="BT10" s="10"/>
      <c r="BU10" s="10"/>
      <c r="BV10" s="10"/>
      <c r="BW10" s="10"/>
      <c r="BX10" s="10"/>
      <c r="BY10" s="5"/>
    </row>
    <row r="11" spans="1:77" ht="14.4" customHeight="1" thickTop="1" thickBot="1" x14ac:dyDescent="0.35">
      <c r="A11" s="10"/>
      <c r="B11" s="76" t="s">
        <v>210</v>
      </c>
      <c r="C11" s="77"/>
      <c r="D11" s="78"/>
      <c r="E11" s="10"/>
      <c r="F11" s="2"/>
      <c r="G11" s="182"/>
      <c r="I11" s="20"/>
      <c r="J11" s="20"/>
      <c r="K11" s="20"/>
      <c r="L11" s="20"/>
      <c r="M11" s="20"/>
      <c r="N11" s="20"/>
      <c r="O11" s="16"/>
      <c r="P11" s="265" t="s">
        <v>115</v>
      </c>
      <c r="Q11" s="53"/>
      <c r="R11" s="267" cm="1">
        <f t="array" aca="1" ref="R11" ca="1">CountCellsByColor(H2:O57, P11)*3/4</f>
        <v>0</v>
      </c>
      <c r="S11" s="270" t="str">
        <f>IF(Q21 =1, "/ 18", "/ 0")</f>
        <v>/ 0</v>
      </c>
      <c r="T11" s="328"/>
      <c r="U11" s="329"/>
      <c r="V11" s="285"/>
      <c r="W11" s="286"/>
      <c r="X11" s="286"/>
      <c r="Y11" s="287"/>
      <c r="Z11" s="112"/>
      <c r="AA11" s="105"/>
      <c r="AB11" s="106"/>
      <c r="AC11" s="105"/>
      <c r="AD11" s="106"/>
      <c r="AE11" s="105"/>
      <c r="AF11" s="106"/>
      <c r="AG11" s="105"/>
      <c r="AH11" s="106"/>
      <c r="AI11" s="105"/>
      <c r="AJ11" s="106"/>
      <c r="AK11" s="105"/>
      <c r="AL11" s="106"/>
      <c r="AM11" s="105"/>
      <c r="AN11" s="106"/>
      <c r="AO11" s="105"/>
      <c r="AP11" s="106"/>
      <c r="AQ11" s="105"/>
      <c r="AR11" s="106"/>
      <c r="AS11" s="105"/>
      <c r="AT11" s="106"/>
      <c r="AU11" s="10"/>
      <c r="AV11" s="10"/>
      <c r="AW11" s="10"/>
      <c r="AX11" s="10"/>
      <c r="AY11" s="25"/>
      <c r="AZ11" s="26"/>
      <c r="BA11" s="212"/>
      <c r="BB11" s="56"/>
      <c r="BC11" s="57"/>
      <c r="BD11" s="56"/>
      <c r="BE11" s="57"/>
      <c r="BF11" s="56"/>
      <c r="BG11" s="57"/>
      <c r="BH11" s="10"/>
      <c r="BI11" s="5"/>
      <c r="BJ11" s="56"/>
      <c r="BK11" s="57"/>
      <c r="BL11" s="10"/>
      <c r="BM11" s="10"/>
      <c r="BN11" s="10"/>
      <c r="BO11" s="10"/>
      <c r="BP11" s="10"/>
      <c r="BQ11" s="5"/>
      <c r="BR11" s="56"/>
      <c r="BS11" s="57"/>
      <c r="BT11" s="10"/>
      <c r="BU11" s="10"/>
      <c r="BV11" s="10"/>
      <c r="BW11" s="10"/>
      <c r="BX11" s="10"/>
      <c r="BY11" s="5"/>
    </row>
    <row r="12" spans="1:77" ht="14.4" customHeight="1" x14ac:dyDescent="0.3">
      <c r="A12" s="10"/>
      <c r="B12" s="79"/>
      <c r="C12" s="80"/>
      <c r="D12" s="81"/>
      <c r="E12" s="10"/>
      <c r="F12" s="342" t="s">
        <v>18</v>
      </c>
      <c r="G12" s="343"/>
      <c r="H12" s="20"/>
      <c r="I12" s="20"/>
      <c r="J12" s="20"/>
      <c r="K12" s="20"/>
      <c r="L12" s="20"/>
      <c r="N12" s="20"/>
      <c r="O12" s="16"/>
      <c r="P12" s="266"/>
      <c r="Q12" s="55"/>
      <c r="R12" s="268"/>
      <c r="S12" s="271"/>
      <c r="T12" s="326" t="s">
        <v>185</v>
      </c>
      <c r="U12" s="327"/>
      <c r="V12" s="10"/>
      <c r="W12" s="10"/>
      <c r="X12" s="10"/>
      <c r="Y12" s="10"/>
      <c r="Z12" s="110" t="s">
        <v>30</v>
      </c>
      <c r="AA12" s="101" t="s">
        <v>40</v>
      </c>
      <c r="AB12" s="102"/>
      <c r="AC12" s="101" t="s">
        <v>42</v>
      </c>
      <c r="AD12" s="102"/>
      <c r="AE12" s="101" t="s">
        <v>43</v>
      </c>
      <c r="AF12" s="102"/>
      <c r="AG12" s="313" t="s">
        <v>61</v>
      </c>
      <c r="AH12" s="314"/>
      <c r="AI12" s="6"/>
      <c r="AJ12" s="6"/>
      <c r="AK12" s="6"/>
      <c r="AL12" s="6"/>
      <c r="AM12" s="101" t="s">
        <v>51</v>
      </c>
      <c r="AN12" s="102"/>
      <c r="AO12" s="101" t="s">
        <v>52</v>
      </c>
      <c r="AP12" s="102"/>
      <c r="AQ12" s="101" t="s">
        <v>53</v>
      </c>
      <c r="AR12" s="102"/>
      <c r="AS12" s="101" t="s">
        <v>51</v>
      </c>
      <c r="AT12" s="102"/>
      <c r="AU12" s="10"/>
      <c r="AV12" s="10"/>
      <c r="AW12" s="10"/>
      <c r="AX12" s="10"/>
      <c r="AY12" s="25"/>
      <c r="AZ12" s="26"/>
      <c r="BA12" s="211" t="s">
        <v>30</v>
      </c>
      <c r="BB12" s="52" t="s">
        <v>127</v>
      </c>
      <c r="BC12" s="53"/>
      <c r="BD12" s="10"/>
      <c r="BE12" s="10"/>
      <c r="BF12" s="10"/>
      <c r="BG12" s="10"/>
      <c r="BH12" s="10"/>
      <c r="BI12" s="5"/>
      <c r="BJ12" s="52" t="s">
        <v>135</v>
      </c>
      <c r="BK12" s="53"/>
      <c r="BL12" s="10"/>
      <c r="BM12" s="10"/>
      <c r="BN12" s="10"/>
      <c r="BO12" s="10"/>
      <c r="BP12" s="10"/>
      <c r="BQ12" s="5"/>
      <c r="BR12" s="52" t="s">
        <v>144</v>
      </c>
      <c r="BS12" s="53"/>
      <c r="BT12" s="10"/>
      <c r="BU12" s="10"/>
      <c r="BV12" s="10"/>
      <c r="BW12" s="10"/>
      <c r="BX12" s="10"/>
      <c r="BY12" s="5"/>
    </row>
    <row r="13" spans="1:77" ht="15" customHeight="1" thickBot="1" x14ac:dyDescent="0.35">
      <c r="A13" s="10"/>
      <c r="B13" s="79"/>
      <c r="C13" s="80"/>
      <c r="D13" s="81"/>
      <c r="E13" s="10"/>
      <c r="F13" s="344"/>
      <c r="G13" s="345"/>
      <c r="H13" s="20"/>
      <c r="I13" s="20"/>
      <c r="J13" s="20"/>
      <c r="K13" s="20"/>
      <c r="L13" s="20"/>
      <c r="M13" s="20"/>
      <c r="N13" s="20"/>
      <c r="O13" s="16"/>
      <c r="P13" s="98"/>
      <c r="Q13" s="57"/>
      <c r="R13" s="269"/>
      <c r="S13" s="272"/>
      <c r="T13" s="328"/>
      <c r="U13" s="329"/>
      <c r="V13" s="10"/>
      <c r="W13" s="10"/>
      <c r="X13" s="10"/>
      <c r="Y13" s="10"/>
      <c r="Z13" s="111"/>
      <c r="AA13" s="103"/>
      <c r="AB13" s="104"/>
      <c r="AC13" s="103"/>
      <c r="AD13" s="104"/>
      <c r="AE13" s="103"/>
      <c r="AF13" s="104"/>
      <c r="AG13" s="315"/>
      <c r="AH13" s="316"/>
      <c r="AI13" s="6"/>
      <c r="AJ13" s="6"/>
      <c r="AK13" s="6"/>
      <c r="AL13" s="6"/>
      <c r="AM13" s="103"/>
      <c r="AN13" s="104"/>
      <c r="AO13" s="103"/>
      <c r="AP13" s="104"/>
      <c r="AQ13" s="103"/>
      <c r="AR13" s="104"/>
      <c r="AS13" s="103"/>
      <c r="AT13" s="104"/>
      <c r="AU13" s="10"/>
      <c r="AV13" s="10"/>
      <c r="AW13" s="10"/>
      <c r="AX13" s="10"/>
      <c r="AY13" s="25"/>
      <c r="AZ13" s="26"/>
      <c r="BA13" s="238"/>
      <c r="BB13" s="54"/>
      <c r="BC13" s="55"/>
      <c r="BD13" s="10"/>
      <c r="BE13" s="10"/>
      <c r="BF13" s="10"/>
      <c r="BG13" s="10"/>
      <c r="BH13" s="10"/>
      <c r="BI13" s="5"/>
      <c r="BJ13" s="56"/>
      <c r="BK13" s="57"/>
      <c r="BL13" s="10"/>
      <c r="BM13" s="10"/>
      <c r="BN13" s="10"/>
      <c r="BO13" s="10"/>
      <c r="BP13" s="10"/>
      <c r="BQ13" s="5"/>
      <c r="BR13" s="54"/>
      <c r="BS13" s="55"/>
      <c r="BT13" s="10"/>
      <c r="BU13" s="10"/>
      <c r="BV13" s="10"/>
      <c r="BW13" s="10"/>
      <c r="BX13" s="10"/>
      <c r="BY13" s="5"/>
    </row>
    <row r="14" spans="1:77" ht="14.4" customHeight="1" x14ac:dyDescent="0.3">
      <c r="A14" s="10"/>
      <c r="B14" s="79"/>
      <c r="C14" s="80"/>
      <c r="D14" s="81"/>
      <c r="E14" s="10"/>
      <c r="F14" s="344"/>
      <c r="G14" s="345"/>
      <c r="H14" s="20"/>
      <c r="I14" s="20"/>
      <c r="J14" s="20"/>
      <c r="K14" s="20"/>
      <c r="L14" s="20"/>
      <c r="M14" s="20"/>
      <c r="N14" s="20"/>
      <c r="O14" s="16"/>
      <c r="P14" s="273" t="s">
        <v>63</v>
      </c>
      <c r="Q14" s="274"/>
      <c r="R14" s="333" cm="1">
        <f t="array" aca="1" ref="R14" ca="1">CountCellsByColor(H5:O57, P14)*30/8</f>
        <v>0</v>
      </c>
      <c r="S14" s="279" t="s">
        <v>60</v>
      </c>
      <c r="T14" s="326" t="s">
        <v>186</v>
      </c>
      <c r="U14" s="327"/>
      <c r="V14" s="10"/>
      <c r="W14" s="10"/>
      <c r="X14" s="10"/>
      <c r="Y14" s="10"/>
      <c r="Z14" s="111"/>
      <c r="AA14" s="103"/>
      <c r="AB14" s="104"/>
      <c r="AC14" s="103"/>
      <c r="AD14" s="104"/>
      <c r="AE14" s="103"/>
      <c r="AF14" s="104"/>
      <c r="AG14" s="315"/>
      <c r="AH14" s="316"/>
      <c r="AI14" s="6"/>
      <c r="AJ14" s="6"/>
      <c r="AK14" s="6"/>
      <c r="AL14" s="6"/>
      <c r="AM14" s="103"/>
      <c r="AN14" s="104"/>
      <c r="AO14" s="103"/>
      <c r="AP14" s="104"/>
      <c r="AQ14" s="103"/>
      <c r="AR14" s="104"/>
      <c r="AS14" s="103"/>
      <c r="AT14" s="104"/>
      <c r="AU14" s="10"/>
      <c r="AV14" s="10"/>
      <c r="AW14" s="10"/>
      <c r="AX14" s="10"/>
      <c r="AY14" s="25"/>
      <c r="AZ14" s="26"/>
      <c r="BA14" s="238"/>
      <c r="BB14" s="54"/>
      <c r="BC14" s="55"/>
      <c r="BD14" s="10"/>
      <c r="BE14" s="10"/>
      <c r="BF14" s="10"/>
      <c r="BG14" s="10"/>
      <c r="BH14" s="10"/>
      <c r="BI14" s="5"/>
      <c r="BJ14" s="10"/>
      <c r="BK14" s="10"/>
      <c r="BL14" s="10"/>
      <c r="BM14" s="10"/>
      <c r="BN14" s="10"/>
      <c r="BO14" s="10"/>
      <c r="BP14" s="10"/>
      <c r="BQ14" s="5"/>
      <c r="BR14" s="54"/>
      <c r="BS14" s="55"/>
      <c r="BT14" s="10"/>
      <c r="BU14" s="10"/>
      <c r="BV14" s="10"/>
      <c r="BW14" s="10"/>
      <c r="BX14" s="10"/>
      <c r="BY14" s="5"/>
    </row>
    <row r="15" spans="1:77" ht="15" customHeight="1" thickBot="1" x14ac:dyDescent="0.35">
      <c r="A15" s="10"/>
      <c r="B15" s="79"/>
      <c r="C15" s="80"/>
      <c r="D15" s="81"/>
      <c r="E15" s="10"/>
      <c r="F15" s="344"/>
      <c r="G15" s="345"/>
      <c r="H15" s="20"/>
      <c r="I15" s="20"/>
      <c r="J15" s="20"/>
      <c r="K15" s="20"/>
      <c r="L15" s="20"/>
      <c r="M15" s="20"/>
      <c r="N15" s="20"/>
      <c r="O15" s="16"/>
      <c r="P15" s="275"/>
      <c r="Q15" s="276"/>
      <c r="R15" s="334"/>
      <c r="S15" s="280"/>
      <c r="T15" s="328"/>
      <c r="U15" s="329"/>
      <c r="V15" s="10"/>
      <c r="W15" s="10"/>
      <c r="X15" s="10"/>
      <c r="Y15" s="10"/>
      <c r="Z15" s="112"/>
      <c r="AA15" s="105"/>
      <c r="AB15" s="106"/>
      <c r="AC15" s="105"/>
      <c r="AD15" s="106"/>
      <c r="AE15" s="105"/>
      <c r="AF15" s="106"/>
      <c r="AG15" s="317"/>
      <c r="AH15" s="318"/>
      <c r="AI15" s="6"/>
      <c r="AJ15" s="6"/>
      <c r="AK15" s="6"/>
      <c r="AL15" s="6"/>
      <c r="AM15" s="105"/>
      <c r="AN15" s="106"/>
      <c r="AO15" s="105"/>
      <c r="AP15" s="106"/>
      <c r="AQ15" s="105"/>
      <c r="AR15" s="106"/>
      <c r="AS15" s="105"/>
      <c r="AT15" s="106"/>
      <c r="AU15" s="10"/>
      <c r="AV15" s="10"/>
      <c r="AW15" s="10"/>
      <c r="AX15" s="10"/>
      <c r="AY15" s="25"/>
      <c r="AZ15" s="26"/>
      <c r="BA15" s="212"/>
      <c r="BB15" s="56"/>
      <c r="BC15" s="57"/>
      <c r="BD15" s="10"/>
      <c r="BE15" s="10"/>
      <c r="BF15" s="10"/>
      <c r="BG15" s="10"/>
      <c r="BH15" s="10"/>
      <c r="BI15" s="5"/>
      <c r="BJ15" s="10"/>
      <c r="BK15" s="10"/>
      <c r="BL15" s="10"/>
      <c r="BM15" s="10"/>
      <c r="BN15" s="10"/>
      <c r="BO15" s="10"/>
      <c r="BP15" s="10"/>
      <c r="BQ15" s="5"/>
      <c r="BR15" s="56"/>
      <c r="BS15" s="57"/>
      <c r="BT15" s="10"/>
      <c r="BU15" s="10"/>
      <c r="BV15" s="10"/>
      <c r="BW15" s="10"/>
      <c r="BX15" s="10"/>
      <c r="BY15" s="5"/>
    </row>
    <row r="16" spans="1:77" ht="14.4" customHeight="1" thickBot="1" x14ac:dyDescent="0.35">
      <c r="A16" s="10"/>
      <c r="B16" s="79"/>
      <c r="C16" s="80"/>
      <c r="D16" s="81"/>
      <c r="E16" s="10"/>
      <c r="F16" s="344"/>
      <c r="G16" s="345"/>
      <c r="H16" s="20"/>
      <c r="I16" s="20"/>
      <c r="J16" s="20"/>
      <c r="K16" s="20"/>
      <c r="L16" s="20"/>
      <c r="M16" s="20"/>
      <c r="N16" s="20"/>
      <c r="O16" s="16"/>
      <c r="P16" s="277"/>
      <c r="Q16" s="278"/>
      <c r="R16" s="335"/>
      <c r="S16" s="281"/>
      <c r="T16" s="25"/>
      <c r="U16" s="26"/>
      <c r="V16" s="10"/>
      <c r="W16" s="10"/>
      <c r="X16" s="10"/>
      <c r="Y16" s="10"/>
      <c r="Z16" s="110" t="s">
        <v>31</v>
      </c>
      <c r="AA16" s="101" t="s">
        <v>59</v>
      </c>
      <c r="AB16" s="102"/>
      <c r="AC16" s="101" t="s">
        <v>26</v>
      </c>
      <c r="AD16" s="102"/>
      <c r="AE16" s="101" t="s">
        <v>41</v>
      </c>
      <c r="AF16" s="102"/>
      <c r="AG16" s="6"/>
      <c r="AH16" s="6"/>
      <c r="AI16" s="6"/>
      <c r="AJ16" s="6"/>
      <c r="AK16" s="6"/>
      <c r="AL16" s="6"/>
      <c r="AM16" s="101" t="s">
        <v>54</v>
      </c>
      <c r="AN16" s="102"/>
      <c r="AO16" s="101" t="s">
        <v>55</v>
      </c>
      <c r="AP16" s="102"/>
      <c r="AQ16" s="101" t="s">
        <v>56</v>
      </c>
      <c r="AR16" s="102"/>
      <c r="AS16" s="101" t="s">
        <v>57</v>
      </c>
      <c r="AT16" s="102"/>
      <c r="AU16" s="101" t="s">
        <v>58</v>
      </c>
      <c r="AV16" s="102"/>
      <c r="AW16" s="7"/>
      <c r="AX16" s="10"/>
      <c r="AY16" s="25"/>
      <c r="AZ16" s="26"/>
      <c r="BA16" s="211" t="s">
        <v>31</v>
      </c>
      <c r="BB16" s="7"/>
      <c r="BC16" s="10"/>
      <c r="BD16" s="10"/>
      <c r="BE16" s="10"/>
      <c r="BF16" s="10"/>
      <c r="BG16" s="10"/>
      <c r="BH16" s="10"/>
      <c r="BI16" s="5"/>
      <c r="BJ16" s="52" t="s">
        <v>132</v>
      </c>
      <c r="BK16" s="53"/>
      <c r="BL16" s="10"/>
      <c r="BM16" s="10"/>
      <c r="BN16" s="10"/>
      <c r="BO16" s="10"/>
      <c r="BP16" s="10"/>
      <c r="BQ16" s="5"/>
      <c r="BR16" s="7"/>
      <c r="BS16" s="10"/>
      <c r="BT16" s="10"/>
      <c r="BU16" s="10"/>
      <c r="BV16" s="10"/>
      <c r="BW16" s="10"/>
      <c r="BX16" s="10"/>
      <c r="BY16" s="5"/>
    </row>
    <row r="17" spans="1:77" ht="15" customHeight="1" thickBot="1" x14ac:dyDescent="0.35">
      <c r="A17" s="10"/>
      <c r="B17" s="79"/>
      <c r="C17" s="80"/>
      <c r="D17" s="81"/>
      <c r="E17" s="10"/>
      <c r="F17" s="344"/>
      <c r="G17" s="345"/>
      <c r="H17" s="20"/>
      <c r="I17" s="20"/>
      <c r="J17" s="20"/>
      <c r="K17" s="20"/>
      <c r="L17" s="20"/>
      <c r="M17" s="20"/>
      <c r="N17" s="20"/>
      <c r="O17" s="16"/>
      <c r="P17" s="10"/>
      <c r="Q17" s="10"/>
      <c r="R17" s="10"/>
      <c r="S17" s="10"/>
      <c r="T17" s="25"/>
      <c r="U17" s="26"/>
      <c r="V17" s="330" t="s">
        <v>228</v>
      </c>
      <c r="W17" s="331"/>
      <c r="X17" s="331"/>
      <c r="Y17" s="332"/>
      <c r="Z17" s="111"/>
      <c r="AA17" s="103"/>
      <c r="AB17" s="104"/>
      <c r="AC17" s="103"/>
      <c r="AD17" s="104"/>
      <c r="AE17" s="103"/>
      <c r="AF17" s="104"/>
      <c r="AG17" s="6"/>
      <c r="AH17" s="6"/>
      <c r="AI17" s="6"/>
      <c r="AJ17" s="6"/>
      <c r="AK17" s="6"/>
      <c r="AL17" s="6"/>
      <c r="AM17" s="103"/>
      <c r="AN17" s="104"/>
      <c r="AO17" s="103"/>
      <c r="AP17" s="104"/>
      <c r="AQ17" s="103"/>
      <c r="AR17" s="104"/>
      <c r="AS17" s="103"/>
      <c r="AT17" s="104"/>
      <c r="AU17" s="103"/>
      <c r="AV17" s="104"/>
      <c r="AW17" s="7"/>
      <c r="AX17" s="10"/>
      <c r="AY17" s="25"/>
      <c r="AZ17" s="26"/>
      <c r="BA17" s="238"/>
      <c r="BB17" s="7"/>
      <c r="BC17" s="10"/>
      <c r="BD17" s="10"/>
      <c r="BE17" s="10"/>
      <c r="BF17" s="10"/>
      <c r="BG17" s="10"/>
      <c r="BH17" s="10"/>
      <c r="BI17" s="5"/>
      <c r="BJ17" s="54"/>
      <c r="BK17" s="55"/>
      <c r="BL17" s="10"/>
      <c r="BM17" s="10"/>
      <c r="BN17" s="10"/>
      <c r="BO17" s="10"/>
      <c r="BP17" s="10"/>
      <c r="BQ17" s="5"/>
      <c r="BR17" s="7"/>
      <c r="BS17" s="10"/>
      <c r="BT17" s="10"/>
      <c r="BU17" s="10"/>
      <c r="BV17" s="10"/>
      <c r="BW17" s="10"/>
      <c r="BX17" s="10"/>
      <c r="BY17" s="5"/>
    </row>
    <row r="18" spans="1:77" ht="14.4" customHeight="1" thickBot="1" x14ac:dyDescent="0.35">
      <c r="A18" s="10"/>
      <c r="B18" s="79"/>
      <c r="C18" s="80"/>
      <c r="D18" s="81"/>
      <c r="E18" s="10"/>
      <c r="F18" s="344"/>
      <c r="G18" s="345"/>
      <c r="H18" s="20"/>
      <c r="I18" s="20"/>
      <c r="J18" s="20"/>
      <c r="K18" s="20"/>
      <c r="L18" s="20"/>
      <c r="M18" s="20"/>
      <c r="N18" s="20"/>
      <c r="O18" s="16"/>
      <c r="P18" s="474" t="s">
        <v>118</v>
      </c>
      <c r="Q18" s="475"/>
      <c r="R18" s="475"/>
      <c r="S18" s="476"/>
      <c r="T18" s="25"/>
      <c r="U18" s="26"/>
      <c r="V18" s="49"/>
      <c r="W18" s="50">
        <f xml:space="preserve"> 48 + 12 * P27</f>
        <v>48</v>
      </c>
      <c r="X18" s="50">
        <f xml:space="preserve"> 30 - 18 * Q21 - 9 * P27</f>
        <v>30</v>
      </c>
      <c r="Y18" s="51"/>
      <c r="Z18" s="111"/>
      <c r="AA18" s="103"/>
      <c r="AB18" s="104"/>
      <c r="AC18" s="103"/>
      <c r="AD18" s="104"/>
      <c r="AE18" s="103"/>
      <c r="AF18" s="104"/>
      <c r="AG18" s="6"/>
      <c r="AH18" s="6"/>
      <c r="AI18" s="6"/>
      <c r="AJ18" s="6"/>
      <c r="AK18" s="6"/>
      <c r="AL18" s="6"/>
      <c r="AM18" s="103"/>
      <c r="AN18" s="104"/>
      <c r="AO18" s="103"/>
      <c r="AP18" s="104"/>
      <c r="AQ18" s="103"/>
      <c r="AR18" s="104"/>
      <c r="AS18" s="103"/>
      <c r="AT18" s="104"/>
      <c r="AU18" s="103"/>
      <c r="AV18" s="104"/>
      <c r="AW18" s="7"/>
      <c r="AX18" s="10"/>
      <c r="AY18" s="25"/>
      <c r="AZ18" s="26"/>
      <c r="BA18" s="238"/>
      <c r="BB18" s="7"/>
      <c r="BC18" s="10"/>
      <c r="BD18" s="10"/>
      <c r="BE18" s="10"/>
      <c r="BF18" s="10"/>
      <c r="BG18" s="10"/>
      <c r="BH18" s="10"/>
      <c r="BI18" s="5"/>
      <c r="BJ18" s="54"/>
      <c r="BK18" s="55"/>
      <c r="BL18" s="10"/>
      <c r="BM18" s="10"/>
      <c r="BN18" s="10"/>
      <c r="BO18" s="10"/>
      <c r="BP18" s="10"/>
      <c r="BQ18" s="5"/>
      <c r="BR18" s="7"/>
      <c r="BS18" s="10"/>
      <c r="BT18" s="10"/>
      <c r="BU18" s="10"/>
      <c r="BV18" s="10"/>
      <c r="BW18" s="10"/>
      <c r="BX18" s="10"/>
      <c r="BY18" s="5"/>
    </row>
    <row r="19" spans="1:77" ht="15" customHeight="1" thickBot="1" x14ac:dyDescent="0.35">
      <c r="A19" s="10"/>
      <c r="B19" s="82"/>
      <c r="C19" s="83"/>
      <c r="D19" s="84"/>
      <c r="E19" s="10"/>
      <c r="F19" s="344"/>
      <c r="G19" s="345"/>
      <c r="H19" s="20"/>
      <c r="I19" s="20"/>
      <c r="J19" s="20"/>
      <c r="K19" s="20"/>
      <c r="L19" s="20"/>
      <c r="M19" s="20"/>
      <c r="N19" s="20"/>
      <c r="O19" s="16"/>
      <c r="P19" s="477"/>
      <c r="Q19" s="478"/>
      <c r="R19" s="478"/>
      <c r="S19" s="479"/>
      <c r="T19" s="25"/>
      <c r="U19" s="26"/>
      <c r="V19" s="10"/>
      <c r="W19" s="10"/>
      <c r="X19" s="10"/>
      <c r="Y19" s="10"/>
      <c r="Z19" s="112"/>
      <c r="AA19" s="103"/>
      <c r="AB19" s="104"/>
      <c r="AC19" s="103"/>
      <c r="AD19" s="104"/>
      <c r="AE19" s="105"/>
      <c r="AF19" s="106"/>
      <c r="AG19" s="6"/>
      <c r="AH19" s="6"/>
      <c r="AI19" s="6"/>
      <c r="AJ19" s="6"/>
      <c r="AK19" s="6"/>
      <c r="AL19" s="6"/>
      <c r="AM19" s="103"/>
      <c r="AN19" s="104"/>
      <c r="AO19" s="103"/>
      <c r="AP19" s="104"/>
      <c r="AQ19" s="103"/>
      <c r="AR19" s="104"/>
      <c r="AS19" s="105"/>
      <c r="AT19" s="106"/>
      <c r="AU19" s="105"/>
      <c r="AV19" s="106"/>
      <c r="AW19" s="8"/>
      <c r="AX19" s="11"/>
      <c r="AY19" s="25"/>
      <c r="AZ19" s="26"/>
      <c r="BA19" s="212"/>
      <c r="BB19" s="7"/>
      <c r="BC19" s="10"/>
      <c r="BD19" s="10"/>
      <c r="BE19" s="10"/>
      <c r="BF19" s="10"/>
      <c r="BG19" s="10"/>
      <c r="BH19" s="10"/>
      <c r="BI19" s="5"/>
      <c r="BJ19" s="56"/>
      <c r="BK19" s="57"/>
      <c r="BL19" s="10"/>
      <c r="BM19" s="10"/>
      <c r="BN19" s="10"/>
      <c r="BO19" s="10"/>
      <c r="BP19" s="10"/>
      <c r="BQ19" s="5"/>
      <c r="BR19" s="7"/>
      <c r="BS19" s="10"/>
      <c r="BT19" s="10"/>
      <c r="BU19" s="10"/>
      <c r="BV19" s="10"/>
      <c r="BW19" s="10"/>
      <c r="BX19" s="10"/>
      <c r="BY19" s="5"/>
    </row>
    <row r="20" spans="1:77" ht="15" customHeight="1" thickTop="1" thickBot="1" x14ac:dyDescent="0.35">
      <c r="A20" s="10"/>
      <c r="B20" s="91" t="s">
        <v>211</v>
      </c>
      <c r="C20" s="92"/>
      <c r="D20" s="93"/>
      <c r="E20" s="10"/>
      <c r="F20" s="344"/>
      <c r="G20" s="345"/>
      <c r="H20" s="15"/>
      <c r="I20" s="20"/>
      <c r="J20" s="20"/>
      <c r="K20" s="20"/>
      <c r="L20" s="20"/>
      <c r="M20" s="20"/>
      <c r="N20" s="20"/>
      <c r="O20" s="16"/>
      <c r="P20" s="247" t="s">
        <v>117</v>
      </c>
      <c r="Q20" s="248"/>
      <c r="R20" s="248"/>
      <c r="S20" s="249"/>
      <c r="T20" s="25"/>
      <c r="U20" s="26"/>
      <c r="V20" s="10"/>
      <c r="W20" s="10"/>
      <c r="X20" s="10"/>
      <c r="Y20" s="10"/>
      <c r="Z20" s="199" t="s">
        <v>24</v>
      </c>
      <c r="AA20" s="319" t="s">
        <v>16</v>
      </c>
      <c r="AB20" s="320"/>
      <c r="AC20" s="320"/>
      <c r="AD20" s="320"/>
      <c r="AE20" s="320"/>
      <c r="AF20" s="320"/>
      <c r="AG20" s="320"/>
      <c r="AH20" s="320"/>
      <c r="AI20" s="320"/>
      <c r="AJ20" s="320"/>
      <c r="AK20" s="320"/>
      <c r="AL20" s="321"/>
      <c r="AM20" s="160" t="s">
        <v>17</v>
      </c>
      <c r="AN20" s="161"/>
      <c r="AO20" s="161"/>
      <c r="AP20" s="161"/>
      <c r="AQ20" s="161"/>
      <c r="AR20" s="161"/>
      <c r="AS20" s="161"/>
      <c r="AT20" s="161"/>
      <c r="AU20" s="161"/>
      <c r="AV20" s="161"/>
      <c r="AW20" s="161"/>
      <c r="AX20" s="161"/>
      <c r="AY20" s="25"/>
      <c r="AZ20" s="26"/>
      <c r="BA20" s="211" t="s">
        <v>139</v>
      </c>
      <c r="BB20" s="7"/>
      <c r="BC20" s="10"/>
      <c r="BD20" s="10"/>
      <c r="BE20" s="10"/>
      <c r="BF20" s="10"/>
      <c r="BG20" s="10"/>
      <c r="BH20" s="10"/>
      <c r="BI20" s="5"/>
      <c r="BJ20" s="22"/>
      <c r="BK20" s="10"/>
      <c r="BL20" s="10"/>
      <c r="BM20" s="10"/>
      <c r="BN20" s="10"/>
      <c r="BO20" s="10"/>
      <c r="BP20" s="10"/>
      <c r="BQ20" s="5"/>
      <c r="BR20" s="52" t="s">
        <v>138</v>
      </c>
      <c r="BS20" s="97"/>
      <c r="BT20" s="97"/>
      <c r="BU20" s="53"/>
      <c r="BV20" s="10"/>
      <c r="BW20" s="10"/>
      <c r="BX20" s="10"/>
      <c r="BY20" s="5"/>
    </row>
    <row r="21" spans="1:77" ht="15" thickBot="1" x14ac:dyDescent="0.35">
      <c r="A21" s="10"/>
      <c r="B21" s="94"/>
      <c r="C21" s="95"/>
      <c r="D21" s="96"/>
      <c r="E21" s="10"/>
      <c r="F21" s="346"/>
      <c r="G21" s="347"/>
      <c r="H21" s="17"/>
      <c r="I21" s="18"/>
      <c r="J21" s="18"/>
      <c r="K21" s="18"/>
      <c r="L21" s="18"/>
      <c r="M21" s="18"/>
      <c r="N21" s="18"/>
      <c r="O21" s="18"/>
      <c r="P21" s="23"/>
      <c r="Q21" s="325">
        <v>0</v>
      </c>
      <c r="R21" s="325"/>
      <c r="S21" s="24"/>
      <c r="T21" s="25"/>
      <c r="U21" s="26"/>
      <c r="V21" s="10"/>
      <c r="W21" s="10"/>
      <c r="X21" s="10"/>
      <c r="Y21" s="10"/>
      <c r="Z21" s="200"/>
      <c r="AA21" s="322"/>
      <c r="AB21" s="323"/>
      <c r="AC21" s="323"/>
      <c r="AD21" s="323"/>
      <c r="AE21" s="323"/>
      <c r="AF21" s="323"/>
      <c r="AG21" s="323"/>
      <c r="AH21" s="323"/>
      <c r="AI21" s="323"/>
      <c r="AJ21" s="323"/>
      <c r="AK21" s="323"/>
      <c r="AL21" s="324"/>
      <c r="AM21" s="162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25"/>
      <c r="AZ21" s="26"/>
      <c r="BA21" s="212"/>
      <c r="BB21" s="7"/>
      <c r="BC21" s="10"/>
      <c r="BD21" s="10"/>
      <c r="BE21" s="10"/>
      <c r="BF21" s="10"/>
      <c r="BG21" s="10"/>
      <c r="BH21" s="10"/>
      <c r="BI21" s="5"/>
      <c r="BJ21" s="7"/>
      <c r="BK21" s="10"/>
      <c r="BL21" s="10"/>
      <c r="BM21" s="10"/>
      <c r="BN21" s="10"/>
      <c r="BO21" s="10"/>
      <c r="BP21" s="10"/>
      <c r="BQ21" s="5"/>
      <c r="BR21" s="56"/>
      <c r="BS21" s="98"/>
      <c r="BT21" s="98"/>
      <c r="BU21" s="57"/>
      <c r="BV21" s="10"/>
      <c r="BW21" s="10"/>
      <c r="BX21" s="10"/>
      <c r="BY21" s="5"/>
    </row>
    <row r="22" spans="1:77" ht="15" customHeight="1" thickTop="1" thickBot="1" x14ac:dyDescent="0.35">
      <c r="A22" s="10"/>
      <c r="B22" s="42"/>
      <c r="C22" s="43"/>
      <c r="D22" s="44"/>
      <c r="E22" s="10"/>
      <c r="F22" s="10"/>
      <c r="G22" s="10"/>
      <c r="H22" s="307" t="s">
        <v>11</v>
      </c>
      <c r="I22" s="308"/>
      <c r="J22" s="308"/>
      <c r="K22" s="308"/>
      <c r="L22" s="308"/>
      <c r="M22" s="308"/>
      <c r="N22" s="308"/>
      <c r="O22" s="309"/>
      <c r="P22" s="247" t="s">
        <v>181</v>
      </c>
      <c r="Q22" s="248"/>
      <c r="R22" s="248"/>
      <c r="S22" s="249"/>
      <c r="T22" s="25"/>
      <c r="U22" s="26"/>
      <c r="V22" s="10"/>
      <c r="W22" s="10"/>
      <c r="X22" s="10"/>
      <c r="Y22" s="10"/>
      <c r="Z22" s="110" t="s">
        <v>28</v>
      </c>
      <c r="AA22" s="101" t="s">
        <v>64</v>
      </c>
      <c r="AB22" s="102"/>
      <c r="AC22" s="101" t="s">
        <v>65</v>
      </c>
      <c r="AD22" s="102"/>
      <c r="AE22" s="101" t="s">
        <v>66</v>
      </c>
      <c r="AF22" s="102"/>
      <c r="AG22" s="101" t="s">
        <v>68</v>
      </c>
      <c r="AH22" s="102"/>
      <c r="AI22" s="101" t="s">
        <v>67</v>
      </c>
      <c r="AJ22" s="102"/>
      <c r="AK22" s="9"/>
      <c r="AL22" s="3"/>
      <c r="AM22" s="101" t="s">
        <v>79</v>
      </c>
      <c r="AN22" s="102"/>
      <c r="AO22" s="101" t="s">
        <v>46</v>
      </c>
      <c r="AP22" s="102"/>
      <c r="AQ22" s="101" t="s">
        <v>82</v>
      </c>
      <c r="AR22" s="102"/>
      <c r="AS22" s="101" t="s">
        <v>87</v>
      </c>
      <c r="AT22" s="102"/>
      <c r="AU22" s="101" t="s">
        <v>209</v>
      </c>
      <c r="AV22" s="102"/>
      <c r="AW22" s="9"/>
      <c r="AX22" s="9"/>
      <c r="AY22" s="25"/>
      <c r="AZ22" s="26"/>
      <c r="BA22" s="211" t="s">
        <v>140</v>
      </c>
      <c r="BB22" s="7"/>
      <c r="BC22" s="10"/>
      <c r="BD22" s="10"/>
      <c r="BE22" s="10"/>
      <c r="BF22" s="10"/>
      <c r="BG22" s="10"/>
      <c r="BH22" s="10"/>
      <c r="BI22" s="5"/>
      <c r="BJ22" s="7"/>
      <c r="BK22" s="10"/>
      <c r="BL22" s="10"/>
      <c r="BM22" s="10"/>
      <c r="BN22" s="10"/>
      <c r="BO22" s="10"/>
      <c r="BP22" s="10"/>
      <c r="BQ22" s="5"/>
      <c r="BR22" s="52" t="s">
        <v>141</v>
      </c>
      <c r="BS22" s="97"/>
      <c r="BT22" s="97"/>
      <c r="BU22" s="53"/>
      <c r="BV22" s="10"/>
      <c r="BW22" s="10"/>
      <c r="BX22" s="10"/>
      <c r="BY22" s="5"/>
    </row>
    <row r="23" spans="1:77" ht="15" thickBot="1" x14ac:dyDescent="0.35">
      <c r="A23" s="10"/>
      <c r="B23" s="39"/>
      <c r="C23" s="10"/>
      <c r="D23" s="40"/>
      <c r="E23" s="10"/>
      <c r="F23" s="10"/>
      <c r="G23" s="10"/>
      <c r="H23" s="310"/>
      <c r="I23" s="311"/>
      <c r="J23" s="311"/>
      <c r="K23" s="311"/>
      <c r="L23" s="311"/>
      <c r="M23" s="311"/>
      <c r="N23" s="311"/>
      <c r="O23" s="312"/>
      <c r="P23" s="262">
        <v>0</v>
      </c>
      <c r="Q23" s="263"/>
      <c r="R23" s="263"/>
      <c r="S23" s="264"/>
      <c r="T23" s="25"/>
      <c r="U23" s="26"/>
      <c r="V23" s="10"/>
      <c r="W23" s="10"/>
      <c r="X23" s="10"/>
      <c r="Y23" s="10"/>
      <c r="Z23" s="111"/>
      <c r="AA23" s="103"/>
      <c r="AB23" s="104"/>
      <c r="AC23" s="103"/>
      <c r="AD23" s="104"/>
      <c r="AE23" s="103"/>
      <c r="AF23" s="104"/>
      <c r="AG23" s="103"/>
      <c r="AH23" s="104"/>
      <c r="AI23" s="103"/>
      <c r="AJ23" s="104"/>
      <c r="AK23" s="10"/>
      <c r="AL23" s="5"/>
      <c r="AM23" s="103"/>
      <c r="AN23" s="104"/>
      <c r="AO23" s="103"/>
      <c r="AP23" s="104"/>
      <c r="AQ23" s="103"/>
      <c r="AR23" s="104"/>
      <c r="AS23" s="103"/>
      <c r="AT23" s="104"/>
      <c r="AU23" s="103"/>
      <c r="AV23" s="104"/>
      <c r="AW23" s="10"/>
      <c r="AX23" s="10"/>
      <c r="AY23" s="25"/>
      <c r="AZ23" s="26"/>
      <c r="BA23" s="212"/>
      <c r="BB23" s="8"/>
      <c r="BC23" s="11"/>
      <c r="BD23" s="11"/>
      <c r="BE23" s="11"/>
      <c r="BF23" s="11"/>
      <c r="BG23" s="11"/>
      <c r="BH23" s="11"/>
      <c r="BI23" s="4"/>
      <c r="BJ23" s="8"/>
      <c r="BK23" s="11"/>
      <c r="BL23" s="11"/>
      <c r="BM23" s="11"/>
      <c r="BN23" s="11"/>
      <c r="BO23" s="11"/>
      <c r="BP23" s="11"/>
      <c r="BQ23" s="4"/>
      <c r="BR23" s="56"/>
      <c r="BS23" s="98"/>
      <c r="BT23" s="98"/>
      <c r="BU23" s="57"/>
      <c r="BV23" s="11"/>
      <c r="BW23" s="11"/>
      <c r="BX23" s="11"/>
      <c r="BY23" s="4"/>
    </row>
    <row r="24" spans="1:77" ht="15" customHeight="1" thickBot="1" x14ac:dyDescent="0.35">
      <c r="A24" s="10"/>
      <c r="B24" s="39"/>
      <c r="C24" s="10"/>
      <c r="D24" s="40"/>
      <c r="E24" s="48"/>
      <c r="F24" s="10"/>
      <c r="G24" s="10"/>
      <c r="H24" s="260" t="s">
        <v>2</v>
      </c>
      <c r="I24" s="261"/>
      <c r="J24" s="260" t="s">
        <v>3</v>
      </c>
      <c r="K24" s="261"/>
      <c r="L24" s="260" t="s">
        <v>4</v>
      </c>
      <c r="M24" s="261"/>
      <c r="N24" s="260" t="s">
        <v>5</v>
      </c>
      <c r="O24" s="261"/>
      <c r="P24" s="247" t="s">
        <v>182</v>
      </c>
      <c r="Q24" s="248"/>
      <c r="R24" s="248"/>
      <c r="S24" s="249"/>
      <c r="T24" s="25"/>
      <c r="U24" s="26"/>
      <c r="V24" s="10"/>
      <c r="W24" s="10"/>
      <c r="X24" s="10"/>
      <c r="Y24" s="10"/>
      <c r="Z24" s="111"/>
      <c r="AA24" s="103"/>
      <c r="AB24" s="104"/>
      <c r="AC24" s="103"/>
      <c r="AD24" s="104"/>
      <c r="AE24" s="103"/>
      <c r="AF24" s="104"/>
      <c r="AG24" s="103"/>
      <c r="AH24" s="104"/>
      <c r="AI24" s="103"/>
      <c r="AJ24" s="104"/>
      <c r="AK24" s="10"/>
      <c r="AL24" s="5"/>
      <c r="AM24" s="103"/>
      <c r="AN24" s="104"/>
      <c r="AO24" s="103"/>
      <c r="AP24" s="104"/>
      <c r="AQ24" s="103"/>
      <c r="AR24" s="104"/>
      <c r="AS24" s="103"/>
      <c r="AT24" s="104"/>
      <c r="AU24" s="103"/>
      <c r="AV24" s="104"/>
      <c r="AW24" s="10"/>
      <c r="AX24" s="10"/>
      <c r="AY24" s="25"/>
      <c r="AZ24" s="26"/>
      <c r="BA24" s="197" t="s">
        <v>24</v>
      </c>
      <c r="BB24" s="113" t="s">
        <v>151</v>
      </c>
      <c r="BC24" s="114"/>
      <c r="BD24" s="114"/>
      <c r="BE24" s="114"/>
      <c r="BF24" s="114"/>
      <c r="BG24" s="114"/>
      <c r="BH24" s="114"/>
      <c r="BI24" s="115"/>
      <c r="BJ24" s="220" t="s">
        <v>150</v>
      </c>
      <c r="BK24" s="221"/>
      <c r="BL24" s="221"/>
      <c r="BM24" s="221"/>
      <c r="BN24" s="221"/>
      <c r="BO24" s="221"/>
      <c r="BP24" s="221"/>
      <c r="BQ24" s="222"/>
      <c r="BR24" s="214" t="s">
        <v>157</v>
      </c>
      <c r="BS24" s="215"/>
      <c r="BT24" s="215"/>
      <c r="BU24" s="215"/>
      <c r="BV24" s="215"/>
      <c r="BW24" s="215"/>
      <c r="BX24" s="215"/>
      <c r="BY24" s="216"/>
    </row>
    <row r="25" spans="1:77" ht="15" thickBot="1" x14ac:dyDescent="0.35">
      <c r="A25" s="10"/>
      <c r="B25" s="39"/>
      <c r="C25" s="10"/>
      <c r="D25" s="40"/>
      <c r="E25" s="10"/>
      <c r="F25" s="10"/>
      <c r="G25" s="10"/>
      <c r="H25" s="12"/>
      <c r="I25" s="13"/>
      <c r="J25" s="13"/>
      <c r="K25" s="13"/>
      <c r="L25" s="13"/>
      <c r="M25" s="13"/>
      <c r="N25" s="13"/>
      <c r="O25" s="14"/>
      <c r="P25" s="263">
        <v>1</v>
      </c>
      <c r="Q25" s="263"/>
      <c r="R25" s="263"/>
      <c r="S25" s="264"/>
      <c r="T25" s="25"/>
      <c r="U25" s="26"/>
      <c r="V25" s="10"/>
      <c r="W25" s="10"/>
      <c r="X25" s="10"/>
      <c r="Y25" s="10"/>
      <c r="Z25" s="112"/>
      <c r="AA25" s="105"/>
      <c r="AB25" s="106"/>
      <c r="AC25" s="105"/>
      <c r="AD25" s="106"/>
      <c r="AE25" s="105"/>
      <c r="AF25" s="106"/>
      <c r="AG25" s="105"/>
      <c r="AH25" s="106"/>
      <c r="AI25" s="105"/>
      <c r="AJ25" s="106"/>
      <c r="AK25" s="10"/>
      <c r="AL25" s="5"/>
      <c r="AM25" s="105"/>
      <c r="AN25" s="106"/>
      <c r="AO25" s="105"/>
      <c r="AP25" s="106"/>
      <c r="AQ25" s="105"/>
      <c r="AR25" s="106"/>
      <c r="AS25" s="105"/>
      <c r="AT25" s="106"/>
      <c r="AU25" s="105"/>
      <c r="AV25" s="106"/>
      <c r="AW25" s="10"/>
      <c r="AX25" s="10"/>
      <c r="AY25" s="25"/>
      <c r="AZ25" s="26"/>
      <c r="BA25" s="198"/>
      <c r="BB25" s="116"/>
      <c r="BC25" s="117"/>
      <c r="BD25" s="117"/>
      <c r="BE25" s="117"/>
      <c r="BF25" s="117"/>
      <c r="BG25" s="117"/>
      <c r="BH25" s="117"/>
      <c r="BI25" s="118"/>
      <c r="BJ25" s="223"/>
      <c r="BK25" s="224"/>
      <c r="BL25" s="224"/>
      <c r="BM25" s="224"/>
      <c r="BN25" s="224"/>
      <c r="BO25" s="224"/>
      <c r="BP25" s="224"/>
      <c r="BQ25" s="225"/>
      <c r="BR25" s="217"/>
      <c r="BS25" s="218"/>
      <c r="BT25" s="218"/>
      <c r="BU25" s="218"/>
      <c r="BV25" s="218"/>
      <c r="BW25" s="218"/>
      <c r="BX25" s="218"/>
      <c r="BY25" s="219"/>
    </row>
    <row r="26" spans="1:77" ht="14.4" customHeight="1" thickBot="1" x14ac:dyDescent="0.35">
      <c r="A26" s="10"/>
      <c r="B26" s="39"/>
      <c r="C26" s="10"/>
      <c r="D26" s="40"/>
      <c r="E26" s="10"/>
      <c r="F26" s="10"/>
      <c r="G26" s="10"/>
      <c r="H26" s="15"/>
      <c r="I26" s="20"/>
      <c r="J26" s="20"/>
      <c r="K26" s="20"/>
      <c r="L26" s="20"/>
      <c r="M26" s="20"/>
      <c r="N26" s="20"/>
      <c r="O26" s="16"/>
      <c r="P26" s="247" t="s">
        <v>223</v>
      </c>
      <c r="Q26" s="248"/>
      <c r="R26" s="248"/>
      <c r="S26" s="249"/>
      <c r="T26" s="25"/>
      <c r="U26" s="26"/>
      <c r="V26" s="10"/>
      <c r="W26" s="10"/>
      <c r="X26" s="10"/>
      <c r="Y26" s="10"/>
      <c r="Z26" s="110" t="s">
        <v>29</v>
      </c>
      <c r="AA26" s="101" t="s">
        <v>69</v>
      </c>
      <c r="AB26" s="102"/>
      <c r="AC26" s="101" t="s">
        <v>70</v>
      </c>
      <c r="AD26" s="102"/>
      <c r="AE26" s="101" t="s">
        <v>71</v>
      </c>
      <c r="AF26" s="102"/>
      <c r="AG26" s="101" t="s">
        <v>72</v>
      </c>
      <c r="AH26" s="102"/>
      <c r="AI26" s="10"/>
      <c r="AJ26" s="10"/>
      <c r="AK26" s="10"/>
      <c r="AL26" s="5"/>
      <c r="AM26" s="101" t="s">
        <v>83</v>
      </c>
      <c r="AN26" s="102"/>
      <c r="AO26" s="101" t="s">
        <v>84</v>
      </c>
      <c r="AP26" s="102"/>
      <c r="AQ26" s="101" t="s">
        <v>85</v>
      </c>
      <c r="AR26" s="102"/>
      <c r="AS26" s="101" t="s">
        <v>86</v>
      </c>
      <c r="AT26" s="102"/>
      <c r="AU26" s="101" t="s">
        <v>90</v>
      </c>
      <c r="AV26" s="102"/>
      <c r="AW26" s="101" t="s">
        <v>170</v>
      </c>
      <c r="AX26" s="107"/>
      <c r="AY26" s="25"/>
      <c r="AZ26" s="26"/>
      <c r="BA26" s="195" t="s">
        <v>28</v>
      </c>
      <c r="BB26" s="22"/>
      <c r="BC26" s="9"/>
      <c r="BD26" s="9"/>
      <c r="BE26" s="9"/>
      <c r="BF26" s="9"/>
      <c r="BG26" s="9"/>
      <c r="BH26" s="9"/>
      <c r="BI26" s="3"/>
      <c r="BJ26" s="52" t="s">
        <v>152</v>
      </c>
      <c r="BK26" s="53"/>
      <c r="BL26" s="9"/>
      <c r="BM26" s="9"/>
      <c r="BN26" s="9"/>
      <c r="BO26" s="9"/>
      <c r="BP26" s="9"/>
      <c r="BQ26" s="3"/>
      <c r="BR26" s="52" t="s">
        <v>158</v>
      </c>
      <c r="BS26" s="53"/>
      <c r="BT26" s="9"/>
      <c r="BU26" s="9"/>
      <c r="BV26" s="9"/>
      <c r="BW26" s="9"/>
      <c r="BX26" s="9"/>
      <c r="BY26" s="3"/>
    </row>
    <row r="27" spans="1:77" ht="14.4" customHeight="1" thickBot="1" x14ac:dyDescent="0.35">
      <c r="A27" s="10"/>
      <c r="B27" s="45"/>
      <c r="C27" s="46"/>
      <c r="D27" s="47"/>
      <c r="E27" s="10"/>
      <c r="F27" s="10"/>
      <c r="G27" s="10"/>
      <c r="H27" s="15"/>
      <c r="I27" s="20"/>
      <c r="J27" s="20"/>
      <c r="K27" s="20"/>
      <c r="L27" s="20"/>
      <c r="M27" s="20"/>
      <c r="N27" s="20"/>
      <c r="O27" s="16"/>
      <c r="P27" s="263">
        <v>0</v>
      </c>
      <c r="Q27" s="263"/>
      <c r="R27" s="263"/>
      <c r="S27" s="264"/>
      <c r="T27" s="25"/>
      <c r="U27" s="26"/>
      <c r="V27" s="10"/>
      <c r="W27" s="10"/>
      <c r="X27" s="10"/>
      <c r="Y27" s="10"/>
      <c r="Z27" s="111"/>
      <c r="AA27" s="103"/>
      <c r="AB27" s="104"/>
      <c r="AC27" s="103"/>
      <c r="AD27" s="104"/>
      <c r="AE27" s="103"/>
      <c r="AF27" s="104"/>
      <c r="AG27" s="103"/>
      <c r="AH27" s="104"/>
      <c r="AI27" s="10"/>
      <c r="AJ27" s="10"/>
      <c r="AK27" s="10"/>
      <c r="AL27" s="5"/>
      <c r="AM27" s="103"/>
      <c r="AN27" s="104"/>
      <c r="AO27" s="103"/>
      <c r="AP27" s="104"/>
      <c r="AQ27" s="103"/>
      <c r="AR27" s="104"/>
      <c r="AS27" s="103"/>
      <c r="AT27" s="104"/>
      <c r="AU27" s="103"/>
      <c r="AV27" s="104"/>
      <c r="AW27" s="103"/>
      <c r="AX27" s="108"/>
      <c r="AY27" s="25"/>
      <c r="AZ27" s="26"/>
      <c r="BA27" s="213"/>
      <c r="BB27" s="7"/>
      <c r="BC27" s="10"/>
      <c r="BD27" s="10"/>
      <c r="BE27" s="10"/>
      <c r="BF27" s="10"/>
      <c r="BG27" s="10"/>
      <c r="BH27" s="10"/>
      <c r="BI27" s="5"/>
      <c r="BJ27" s="54"/>
      <c r="BK27" s="55"/>
      <c r="BL27" s="10"/>
      <c r="BM27" s="10"/>
      <c r="BN27" s="10"/>
      <c r="BO27" s="10"/>
      <c r="BP27" s="10"/>
      <c r="BQ27" s="5"/>
      <c r="BR27" s="54"/>
      <c r="BS27" s="55"/>
      <c r="BT27" s="10"/>
      <c r="BU27" s="10"/>
      <c r="BV27" s="10"/>
      <c r="BW27" s="10"/>
      <c r="BX27" s="10"/>
      <c r="BY27" s="5"/>
    </row>
    <row r="28" spans="1:77" ht="15" thickBot="1" x14ac:dyDescent="0.35">
      <c r="A28" s="10"/>
      <c r="B28" s="45"/>
      <c r="C28" s="46"/>
      <c r="D28" s="47"/>
      <c r="E28" s="10"/>
      <c r="F28" s="10"/>
      <c r="G28" s="10"/>
      <c r="H28" s="15"/>
      <c r="I28" s="20"/>
      <c r="J28" s="20"/>
      <c r="K28" s="20"/>
      <c r="L28" s="20"/>
      <c r="M28" s="20"/>
      <c r="N28" s="20"/>
      <c r="O28" s="16"/>
      <c r="P28" s="10"/>
      <c r="Q28" s="10"/>
      <c r="R28" s="10"/>
      <c r="S28" s="10"/>
      <c r="T28" s="25"/>
      <c r="U28" s="26"/>
      <c r="V28" s="10"/>
      <c r="W28" s="10"/>
      <c r="X28" s="10"/>
      <c r="Y28" s="10"/>
      <c r="Z28" s="111"/>
      <c r="AA28" s="103"/>
      <c r="AB28" s="104"/>
      <c r="AC28" s="103"/>
      <c r="AD28" s="104"/>
      <c r="AE28" s="103"/>
      <c r="AF28" s="104"/>
      <c r="AG28" s="103"/>
      <c r="AH28" s="104"/>
      <c r="AI28" s="10"/>
      <c r="AJ28" s="10"/>
      <c r="AK28" s="10"/>
      <c r="AL28" s="5"/>
      <c r="AM28" s="103"/>
      <c r="AN28" s="104"/>
      <c r="AO28" s="103"/>
      <c r="AP28" s="104"/>
      <c r="AQ28" s="103"/>
      <c r="AR28" s="104"/>
      <c r="AS28" s="103"/>
      <c r="AT28" s="104"/>
      <c r="AU28" s="103"/>
      <c r="AV28" s="104"/>
      <c r="AW28" s="103"/>
      <c r="AX28" s="108"/>
      <c r="AY28" s="25"/>
      <c r="AZ28" s="26"/>
      <c r="BA28" s="213"/>
      <c r="BB28" s="7"/>
      <c r="BC28" s="10"/>
      <c r="BD28" s="10"/>
      <c r="BE28" s="10"/>
      <c r="BF28" s="10"/>
      <c r="BG28" s="10"/>
      <c r="BH28" s="10"/>
      <c r="BI28" s="5"/>
      <c r="BJ28" s="54"/>
      <c r="BK28" s="55"/>
      <c r="BL28" s="10"/>
      <c r="BM28" s="10"/>
      <c r="BN28" s="10"/>
      <c r="BO28" s="10"/>
      <c r="BP28" s="10"/>
      <c r="BQ28" s="5"/>
      <c r="BR28" s="54"/>
      <c r="BS28" s="55"/>
      <c r="BT28" s="10"/>
      <c r="BU28" s="10"/>
      <c r="BV28" s="10"/>
      <c r="BW28" s="10"/>
      <c r="BX28" s="10"/>
      <c r="BY28" s="5"/>
    </row>
    <row r="29" spans="1:77" ht="15" customHeight="1" thickTop="1" thickBot="1" x14ac:dyDescent="0.35">
      <c r="A29" s="10"/>
      <c r="B29" s="134" t="s">
        <v>194</v>
      </c>
      <c r="C29" s="135"/>
      <c r="D29" s="136"/>
      <c r="E29" s="10"/>
      <c r="F29" s="10"/>
      <c r="G29" s="10"/>
      <c r="H29" s="15"/>
      <c r="I29" s="20"/>
      <c r="J29" s="20"/>
      <c r="K29" s="20"/>
      <c r="L29" s="20"/>
      <c r="M29" s="20"/>
      <c r="N29" s="20"/>
      <c r="O29" s="16"/>
      <c r="P29" s="10"/>
      <c r="Q29" s="10"/>
      <c r="R29" s="10"/>
      <c r="S29" s="10"/>
      <c r="T29" s="25"/>
      <c r="U29" s="26"/>
      <c r="V29" s="10"/>
      <c r="W29" s="10"/>
      <c r="X29" s="10"/>
      <c r="Y29" s="10"/>
      <c r="Z29" s="112"/>
      <c r="AA29" s="105"/>
      <c r="AB29" s="106"/>
      <c r="AC29" s="105"/>
      <c r="AD29" s="106"/>
      <c r="AE29" s="105"/>
      <c r="AF29" s="106"/>
      <c r="AG29" s="105"/>
      <c r="AH29" s="106"/>
      <c r="AI29" s="10"/>
      <c r="AJ29" s="10"/>
      <c r="AK29" s="10"/>
      <c r="AL29" s="5"/>
      <c r="AM29" s="105"/>
      <c r="AN29" s="106"/>
      <c r="AO29" s="105"/>
      <c r="AP29" s="106"/>
      <c r="AQ29" s="105"/>
      <c r="AR29" s="106"/>
      <c r="AS29" s="105"/>
      <c r="AT29" s="106"/>
      <c r="AU29" s="105"/>
      <c r="AV29" s="106"/>
      <c r="AW29" s="105"/>
      <c r="AX29" s="109"/>
      <c r="AY29" s="25"/>
      <c r="AZ29" s="26"/>
      <c r="BA29" s="196"/>
      <c r="BB29" s="7"/>
      <c r="BC29" s="10"/>
      <c r="BD29" s="10"/>
      <c r="BE29" s="10"/>
      <c r="BF29" s="10"/>
      <c r="BG29" s="10"/>
      <c r="BH29" s="10"/>
      <c r="BI29" s="5"/>
      <c r="BJ29" s="56"/>
      <c r="BK29" s="57"/>
      <c r="BL29" s="10"/>
      <c r="BM29" s="10"/>
      <c r="BN29" s="10"/>
      <c r="BO29" s="10"/>
      <c r="BP29" s="10"/>
      <c r="BQ29" s="5"/>
      <c r="BR29" s="56"/>
      <c r="BS29" s="57"/>
      <c r="BT29" s="10"/>
      <c r="BU29" s="10"/>
      <c r="BV29" s="10"/>
      <c r="BW29" s="10"/>
      <c r="BX29" s="10"/>
      <c r="BY29" s="5"/>
    </row>
    <row r="30" spans="1:77" ht="15" customHeight="1" x14ac:dyDescent="0.3">
      <c r="A30" s="10"/>
      <c r="B30" s="137"/>
      <c r="C30" s="138"/>
      <c r="D30" s="139"/>
      <c r="E30" s="10"/>
      <c r="F30" s="10"/>
      <c r="G30" s="10"/>
      <c r="H30" s="15"/>
      <c r="I30" s="20"/>
      <c r="J30" s="20"/>
      <c r="K30" s="20"/>
      <c r="L30" s="20"/>
      <c r="M30" s="20"/>
      <c r="N30" s="20"/>
      <c r="O30" s="16"/>
      <c r="P30" s="10"/>
      <c r="Q30" s="10"/>
      <c r="R30" s="10"/>
      <c r="S30" s="10"/>
      <c r="T30" s="25"/>
      <c r="U30" s="26"/>
      <c r="V30" s="10"/>
      <c r="W30" s="10"/>
      <c r="X30" s="10"/>
      <c r="Y30" s="10"/>
      <c r="Z30" s="110" t="s">
        <v>30</v>
      </c>
      <c r="AA30" s="101" t="s">
        <v>73</v>
      </c>
      <c r="AB30" s="102"/>
      <c r="AC30" s="101" t="s">
        <v>74</v>
      </c>
      <c r="AD30" s="102"/>
      <c r="AE30" s="101" t="s">
        <v>75</v>
      </c>
      <c r="AF30" s="102"/>
      <c r="AG30" s="101" t="s">
        <v>80</v>
      </c>
      <c r="AH30" s="102"/>
      <c r="AI30" s="10"/>
      <c r="AJ30" s="10"/>
      <c r="AK30" s="10"/>
      <c r="AL30" s="5"/>
      <c r="AM30" s="101" t="s">
        <v>40</v>
      </c>
      <c r="AN30" s="102"/>
      <c r="AO30" s="101" t="s">
        <v>89</v>
      </c>
      <c r="AP30" s="102"/>
      <c r="AQ30" s="10"/>
      <c r="AR30" s="10"/>
      <c r="AS30" s="10"/>
      <c r="AT30" s="10"/>
      <c r="AU30" s="10"/>
      <c r="AV30" s="10"/>
      <c r="AW30" s="10"/>
      <c r="AX30" s="10"/>
      <c r="AY30" s="25"/>
      <c r="AZ30" s="26"/>
      <c r="BA30" s="195" t="s">
        <v>29</v>
      </c>
      <c r="BB30" s="7"/>
      <c r="BC30" s="10"/>
      <c r="BD30" s="10"/>
      <c r="BE30" s="10"/>
      <c r="BF30" s="10"/>
      <c r="BG30" s="10"/>
      <c r="BH30" s="10"/>
      <c r="BI30" s="5"/>
      <c r="BJ30" s="52" t="s">
        <v>153</v>
      </c>
      <c r="BK30" s="53"/>
      <c r="BL30" s="52" t="s">
        <v>154</v>
      </c>
      <c r="BM30" s="53"/>
      <c r="BN30" s="10"/>
      <c r="BO30" s="10"/>
      <c r="BP30" s="10"/>
      <c r="BQ30" s="5"/>
      <c r="BR30" s="7"/>
      <c r="BS30" s="10"/>
      <c r="BT30" s="10"/>
      <c r="BU30" s="10"/>
      <c r="BV30" s="10"/>
      <c r="BW30" s="10"/>
      <c r="BX30" s="10"/>
      <c r="BY30" s="5"/>
    </row>
    <row r="31" spans="1:77" x14ac:dyDescent="0.3">
      <c r="A31" s="10"/>
      <c r="B31" s="137"/>
      <c r="C31" s="138"/>
      <c r="D31" s="139"/>
      <c r="E31" s="10"/>
      <c r="F31" s="10"/>
      <c r="G31" s="10"/>
      <c r="H31" s="15"/>
      <c r="I31" s="20"/>
      <c r="J31" s="20"/>
      <c r="K31" s="20"/>
      <c r="L31" s="20"/>
      <c r="M31" s="20"/>
      <c r="N31" s="20"/>
      <c r="O31" s="16"/>
      <c r="P31" s="10"/>
      <c r="Q31" s="10"/>
      <c r="R31" s="10"/>
      <c r="S31" s="10"/>
      <c r="T31" s="25"/>
      <c r="U31" s="26"/>
      <c r="V31" s="10"/>
      <c r="W31" s="10"/>
      <c r="X31" s="10"/>
      <c r="Y31" s="10"/>
      <c r="Z31" s="111"/>
      <c r="AA31" s="103"/>
      <c r="AB31" s="104"/>
      <c r="AC31" s="103"/>
      <c r="AD31" s="104"/>
      <c r="AE31" s="103"/>
      <c r="AF31" s="104"/>
      <c r="AG31" s="103"/>
      <c r="AH31" s="104"/>
      <c r="AI31" s="10"/>
      <c r="AJ31" s="10"/>
      <c r="AK31" s="10"/>
      <c r="AL31" s="5"/>
      <c r="AM31" s="103"/>
      <c r="AN31" s="104"/>
      <c r="AO31" s="103"/>
      <c r="AP31" s="104"/>
      <c r="AQ31" s="10"/>
      <c r="AR31" s="10"/>
      <c r="AS31" s="10"/>
      <c r="AT31" s="10"/>
      <c r="AU31" s="10"/>
      <c r="AV31" s="10"/>
      <c r="AW31" s="10"/>
      <c r="AX31" s="10"/>
      <c r="AY31" s="25"/>
      <c r="AZ31" s="26"/>
      <c r="BA31" s="213"/>
      <c r="BB31" s="7"/>
      <c r="BC31" s="10"/>
      <c r="BD31" s="10"/>
      <c r="BE31" s="10"/>
      <c r="BF31" s="10"/>
      <c r="BG31" s="10"/>
      <c r="BH31" s="10"/>
      <c r="BI31" s="5"/>
      <c r="BJ31" s="54"/>
      <c r="BK31" s="55"/>
      <c r="BL31" s="54"/>
      <c r="BM31" s="55"/>
      <c r="BN31" s="10"/>
      <c r="BO31" s="10"/>
      <c r="BP31" s="10"/>
      <c r="BQ31" s="5"/>
      <c r="BR31" s="7"/>
      <c r="BS31" s="10"/>
      <c r="BT31" s="10"/>
      <c r="BU31" s="10"/>
      <c r="BV31" s="10"/>
      <c r="BW31" s="10"/>
      <c r="BX31" s="10"/>
      <c r="BY31" s="5"/>
    </row>
    <row r="32" spans="1:77" x14ac:dyDescent="0.3">
      <c r="A32" s="10"/>
      <c r="B32" s="137"/>
      <c r="C32" s="138"/>
      <c r="D32" s="139"/>
      <c r="E32" s="10"/>
      <c r="F32" s="10"/>
      <c r="G32" s="10"/>
      <c r="H32" s="15"/>
      <c r="I32" s="20"/>
      <c r="J32" s="20"/>
      <c r="K32" s="20"/>
      <c r="L32" s="20"/>
      <c r="M32" s="20"/>
      <c r="N32" s="20"/>
      <c r="O32" s="16"/>
      <c r="P32" s="10"/>
      <c r="Q32" s="10"/>
      <c r="R32" s="10"/>
      <c r="S32" s="10"/>
      <c r="T32" s="25"/>
      <c r="U32" s="26"/>
      <c r="V32" s="10"/>
      <c r="W32" s="10"/>
      <c r="X32" s="10"/>
      <c r="Y32" s="10"/>
      <c r="Z32" s="111"/>
      <c r="AA32" s="103"/>
      <c r="AB32" s="104"/>
      <c r="AC32" s="103"/>
      <c r="AD32" s="104"/>
      <c r="AE32" s="103"/>
      <c r="AF32" s="104"/>
      <c r="AG32" s="103"/>
      <c r="AH32" s="104"/>
      <c r="AI32" s="10"/>
      <c r="AJ32" s="10"/>
      <c r="AK32" s="10"/>
      <c r="AL32" s="5"/>
      <c r="AM32" s="103"/>
      <c r="AN32" s="104"/>
      <c r="AO32" s="103"/>
      <c r="AP32" s="104"/>
      <c r="AQ32" s="10"/>
      <c r="AR32" s="10"/>
      <c r="AS32" s="10"/>
      <c r="AT32" s="10"/>
      <c r="AU32" s="10"/>
      <c r="AV32" s="10"/>
      <c r="AW32" s="10"/>
      <c r="AX32" s="10"/>
      <c r="AY32" s="25"/>
      <c r="AZ32" s="26"/>
      <c r="BA32" s="213"/>
      <c r="BB32" s="7"/>
      <c r="BC32" s="10"/>
      <c r="BD32" s="10"/>
      <c r="BE32" s="10"/>
      <c r="BF32" s="10"/>
      <c r="BG32" s="10"/>
      <c r="BH32" s="10"/>
      <c r="BI32" s="5"/>
      <c r="BJ32" s="54"/>
      <c r="BK32" s="55"/>
      <c r="BL32" s="54"/>
      <c r="BM32" s="55"/>
      <c r="BN32" s="10"/>
      <c r="BO32" s="10"/>
      <c r="BP32" s="10"/>
      <c r="BQ32" s="5"/>
      <c r="BR32" s="7"/>
      <c r="BS32" s="10"/>
      <c r="BT32" s="10"/>
      <c r="BU32" s="10"/>
      <c r="BV32" s="10"/>
      <c r="BW32" s="10"/>
      <c r="BX32" s="10"/>
      <c r="BY32" s="5"/>
    </row>
    <row r="33" spans="1:77" ht="14.4" customHeight="1" thickBot="1" x14ac:dyDescent="0.35">
      <c r="A33" s="10"/>
      <c r="B33" s="137"/>
      <c r="C33" s="138"/>
      <c r="D33" s="139"/>
      <c r="E33" s="10"/>
      <c r="F33" s="10"/>
      <c r="G33" s="10"/>
      <c r="H33" s="15"/>
      <c r="I33" s="20"/>
      <c r="J33" s="20"/>
      <c r="K33" s="20"/>
      <c r="L33" s="20"/>
      <c r="M33" s="20"/>
      <c r="N33" s="20"/>
      <c r="O33" s="16"/>
      <c r="P33" s="10"/>
      <c r="Q33" s="10"/>
      <c r="R33" s="10"/>
      <c r="S33" s="10"/>
      <c r="T33" s="25"/>
      <c r="U33" s="26"/>
      <c r="V33" s="10"/>
      <c r="W33" s="10"/>
      <c r="X33" s="10"/>
      <c r="Y33" s="10"/>
      <c r="Z33" s="112"/>
      <c r="AA33" s="105"/>
      <c r="AB33" s="106"/>
      <c r="AC33" s="105"/>
      <c r="AD33" s="106"/>
      <c r="AE33" s="105"/>
      <c r="AF33" s="106"/>
      <c r="AG33" s="105"/>
      <c r="AH33" s="106"/>
      <c r="AI33" s="10"/>
      <c r="AJ33" s="10"/>
      <c r="AK33" s="10"/>
      <c r="AL33" s="5"/>
      <c r="AM33" s="105"/>
      <c r="AN33" s="106"/>
      <c r="AO33" s="105"/>
      <c r="AP33" s="106"/>
      <c r="AQ33" s="10"/>
      <c r="AR33" s="10"/>
      <c r="AS33" s="10"/>
      <c r="AT33" s="10"/>
      <c r="AU33" s="10"/>
      <c r="AV33" s="10"/>
      <c r="AW33" s="10"/>
      <c r="AX33" s="10"/>
      <c r="AY33" s="25"/>
      <c r="AZ33" s="26"/>
      <c r="BA33" s="196"/>
      <c r="BB33" s="7"/>
      <c r="BC33" s="10"/>
      <c r="BD33" s="10"/>
      <c r="BE33" s="10"/>
      <c r="BF33" s="10"/>
      <c r="BG33" s="10"/>
      <c r="BH33" s="10"/>
      <c r="BI33" s="5"/>
      <c r="BJ33" s="56"/>
      <c r="BK33" s="57"/>
      <c r="BL33" s="56"/>
      <c r="BM33" s="57"/>
      <c r="BN33" s="10"/>
      <c r="BO33" s="10"/>
      <c r="BP33" s="10"/>
      <c r="BQ33" s="5"/>
      <c r="BR33" s="7"/>
      <c r="BS33" s="10"/>
      <c r="BT33" s="10"/>
      <c r="BU33" s="10"/>
      <c r="BV33" s="10"/>
      <c r="BW33" s="10"/>
      <c r="BX33" s="10"/>
      <c r="BY33" s="5"/>
    </row>
    <row r="34" spans="1:77" ht="15" customHeight="1" thickBot="1" x14ac:dyDescent="0.35">
      <c r="A34" s="10"/>
      <c r="B34" s="140"/>
      <c r="C34" s="141"/>
      <c r="D34" s="142"/>
      <c r="E34" s="10"/>
      <c r="F34" s="10"/>
      <c r="G34" s="10"/>
      <c r="H34" s="15"/>
      <c r="I34" s="20"/>
      <c r="J34" s="20"/>
      <c r="K34" s="20"/>
      <c r="L34" s="20"/>
      <c r="M34" s="20"/>
      <c r="N34" s="20"/>
      <c r="O34" s="16"/>
      <c r="P34" s="10"/>
      <c r="Q34" s="10"/>
      <c r="R34" s="10"/>
      <c r="S34" s="10"/>
      <c r="T34" s="25"/>
      <c r="U34" s="26"/>
      <c r="V34" s="10"/>
      <c r="W34" s="10"/>
      <c r="X34" s="10"/>
      <c r="Y34" s="10"/>
      <c r="Z34" s="110" t="s">
        <v>31</v>
      </c>
      <c r="AA34" s="101" t="s">
        <v>81</v>
      </c>
      <c r="AB34" s="102"/>
      <c r="AC34" s="101" t="s">
        <v>76</v>
      </c>
      <c r="AD34" s="102"/>
      <c r="AE34" s="101" t="s">
        <v>77</v>
      </c>
      <c r="AF34" s="102"/>
      <c r="AG34" s="10"/>
      <c r="AH34" s="10"/>
      <c r="AI34" s="10"/>
      <c r="AJ34" s="10"/>
      <c r="AK34" s="10"/>
      <c r="AL34" s="5"/>
      <c r="AM34" s="101" t="s">
        <v>88</v>
      </c>
      <c r="AN34" s="102"/>
      <c r="AO34" s="101" t="s">
        <v>91</v>
      </c>
      <c r="AP34" s="102"/>
      <c r="AQ34" s="101" t="s">
        <v>93</v>
      </c>
      <c r="AR34" s="102"/>
      <c r="AS34" s="10"/>
      <c r="AT34" s="10"/>
      <c r="AU34" s="10"/>
      <c r="AV34" s="10"/>
      <c r="AW34" s="10"/>
      <c r="AX34" s="10"/>
      <c r="AY34" s="25"/>
      <c r="AZ34" s="26"/>
      <c r="BA34" s="195" t="s">
        <v>30</v>
      </c>
      <c r="BB34" s="7"/>
      <c r="BC34" s="10"/>
      <c r="BD34" s="10"/>
      <c r="BE34" s="10"/>
      <c r="BF34" s="10"/>
      <c r="BG34" s="10"/>
      <c r="BH34" s="10"/>
      <c r="BI34" s="5"/>
      <c r="BJ34" s="52" t="s">
        <v>155</v>
      </c>
      <c r="BK34" s="53"/>
      <c r="BL34" s="10"/>
      <c r="BM34" s="10"/>
      <c r="BN34" s="10"/>
      <c r="BO34" s="10"/>
      <c r="BP34" s="10"/>
      <c r="BQ34" s="5"/>
      <c r="BR34" s="64" t="s">
        <v>75</v>
      </c>
      <c r="BS34" s="65"/>
      <c r="BT34" s="10"/>
      <c r="BU34" s="10"/>
      <c r="BV34" s="10"/>
      <c r="BW34" s="10"/>
      <c r="BX34" s="10"/>
      <c r="BY34" s="5"/>
    </row>
    <row r="35" spans="1:77" ht="15" customHeight="1" thickTop="1" x14ac:dyDescent="0.3">
      <c r="A35" s="10"/>
      <c r="B35" s="491" t="s">
        <v>246</v>
      </c>
      <c r="C35" s="489"/>
      <c r="D35" s="490"/>
      <c r="E35" s="10"/>
      <c r="F35" s="10"/>
      <c r="G35" s="10"/>
      <c r="H35" s="15"/>
      <c r="I35" s="20"/>
      <c r="J35" s="20"/>
      <c r="K35" s="20"/>
      <c r="L35" s="20"/>
      <c r="M35" s="20"/>
      <c r="N35" s="20"/>
      <c r="O35" s="16"/>
      <c r="P35" s="10"/>
      <c r="Q35" s="10"/>
      <c r="R35" s="10"/>
      <c r="S35" s="10"/>
      <c r="T35" s="25"/>
      <c r="U35" s="26"/>
      <c r="V35" s="10"/>
      <c r="W35" s="10"/>
      <c r="X35" s="10"/>
      <c r="Y35" s="10"/>
      <c r="Z35" s="111"/>
      <c r="AA35" s="103"/>
      <c r="AB35" s="104"/>
      <c r="AC35" s="103"/>
      <c r="AD35" s="104"/>
      <c r="AE35" s="103"/>
      <c r="AF35" s="104"/>
      <c r="AG35" s="10"/>
      <c r="AH35" s="10"/>
      <c r="AI35" s="10"/>
      <c r="AJ35" s="10"/>
      <c r="AK35" s="10"/>
      <c r="AL35" s="5"/>
      <c r="AM35" s="103"/>
      <c r="AN35" s="104"/>
      <c r="AO35" s="103"/>
      <c r="AP35" s="104"/>
      <c r="AQ35" s="103"/>
      <c r="AR35" s="104"/>
      <c r="AS35" s="10"/>
      <c r="AT35" s="10"/>
      <c r="AU35" s="10"/>
      <c r="AV35" s="10"/>
      <c r="AW35" s="10"/>
      <c r="AX35" s="10"/>
      <c r="AY35" s="25"/>
      <c r="AZ35" s="26"/>
      <c r="BA35" s="213"/>
      <c r="BB35" s="7"/>
      <c r="BC35" s="10"/>
      <c r="BD35" s="10"/>
      <c r="BE35" s="10"/>
      <c r="BF35" s="10"/>
      <c r="BG35" s="10"/>
      <c r="BH35" s="10"/>
      <c r="BI35" s="5"/>
      <c r="BJ35" s="54"/>
      <c r="BK35" s="55"/>
      <c r="BL35" s="10"/>
      <c r="BM35" s="10"/>
      <c r="BN35" s="10"/>
      <c r="BO35" s="10"/>
      <c r="BP35" s="10"/>
      <c r="BQ35" s="5"/>
      <c r="BR35" s="66"/>
      <c r="BS35" s="67"/>
      <c r="BT35" s="10"/>
      <c r="BU35" s="10"/>
      <c r="BV35" s="10"/>
      <c r="BW35" s="10"/>
      <c r="BX35" s="10"/>
      <c r="BY35" s="5"/>
    </row>
    <row r="36" spans="1:77" ht="14.4" customHeight="1" x14ac:dyDescent="0.3">
      <c r="A36" s="10"/>
      <c r="B36" s="143"/>
      <c r="C36" s="144"/>
      <c r="D36" s="145"/>
      <c r="E36" s="10"/>
      <c r="F36" s="10"/>
      <c r="G36" s="10"/>
      <c r="H36" s="15"/>
      <c r="I36" s="20"/>
      <c r="J36" s="20"/>
      <c r="K36" s="20"/>
      <c r="L36" s="20"/>
      <c r="M36" s="20"/>
      <c r="N36" s="20"/>
      <c r="O36" s="16"/>
      <c r="P36" s="10"/>
      <c r="Q36" s="10"/>
      <c r="R36" s="10"/>
      <c r="S36" s="10"/>
      <c r="T36" s="25"/>
      <c r="U36" s="26"/>
      <c r="V36" s="10"/>
      <c r="W36" s="10"/>
      <c r="X36" s="10"/>
      <c r="Y36" s="10"/>
      <c r="Z36" s="111"/>
      <c r="AA36" s="103"/>
      <c r="AB36" s="104"/>
      <c r="AC36" s="103"/>
      <c r="AD36" s="104"/>
      <c r="AE36" s="103"/>
      <c r="AF36" s="104"/>
      <c r="AG36" s="10"/>
      <c r="AH36" s="10"/>
      <c r="AI36" s="10"/>
      <c r="AJ36" s="10"/>
      <c r="AK36" s="10"/>
      <c r="AL36" s="5"/>
      <c r="AM36" s="103"/>
      <c r="AN36" s="104"/>
      <c r="AO36" s="103"/>
      <c r="AP36" s="104"/>
      <c r="AQ36" s="103"/>
      <c r="AR36" s="104"/>
      <c r="AS36" s="10"/>
      <c r="AT36" s="10"/>
      <c r="AU36" s="10"/>
      <c r="AV36" s="10"/>
      <c r="AW36" s="10"/>
      <c r="AX36" s="10"/>
      <c r="AY36" s="25"/>
      <c r="AZ36" s="26"/>
      <c r="BA36" s="213"/>
      <c r="BB36" s="7"/>
      <c r="BC36" s="10"/>
      <c r="BD36" s="10"/>
      <c r="BE36" s="10"/>
      <c r="BF36" s="10"/>
      <c r="BG36" s="10"/>
      <c r="BH36" s="10"/>
      <c r="BI36" s="5"/>
      <c r="BJ36" s="54"/>
      <c r="BK36" s="55"/>
      <c r="BL36" s="10"/>
      <c r="BM36" s="10"/>
      <c r="BN36" s="10"/>
      <c r="BO36" s="10"/>
      <c r="BP36" s="10"/>
      <c r="BQ36" s="5"/>
      <c r="BR36" s="66"/>
      <c r="BS36" s="67"/>
      <c r="BT36" s="10"/>
      <c r="BU36" s="10"/>
      <c r="BV36" s="10"/>
      <c r="BW36" s="10"/>
      <c r="BX36" s="10"/>
      <c r="BY36" s="5"/>
    </row>
    <row r="37" spans="1:77" ht="14.4" customHeight="1" thickBot="1" x14ac:dyDescent="0.35">
      <c r="A37" s="10"/>
      <c r="B37" s="143"/>
      <c r="C37" s="144"/>
      <c r="D37" s="145"/>
      <c r="E37" s="10"/>
      <c r="F37" s="10"/>
      <c r="G37" s="10"/>
      <c r="H37" s="15"/>
      <c r="I37" s="20"/>
      <c r="J37" s="20"/>
      <c r="K37" s="20"/>
      <c r="L37" s="20"/>
      <c r="M37" s="20"/>
      <c r="N37" s="20"/>
      <c r="O37" s="16"/>
      <c r="P37" s="10"/>
      <c r="Q37" s="10"/>
      <c r="R37" s="10"/>
      <c r="S37" s="10"/>
      <c r="T37" s="25"/>
      <c r="U37" s="26"/>
      <c r="V37" s="10"/>
      <c r="W37" s="10"/>
      <c r="X37" s="10"/>
      <c r="Y37" s="10"/>
      <c r="Z37" s="112"/>
      <c r="AA37" s="105"/>
      <c r="AB37" s="106"/>
      <c r="AC37" s="105"/>
      <c r="AD37" s="106"/>
      <c r="AE37" s="105"/>
      <c r="AF37" s="106"/>
      <c r="AG37" s="11"/>
      <c r="AH37" s="11"/>
      <c r="AI37" s="11"/>
      <c r="AJ37" s="11"/>
      <c r="AK37" s="11"/>
      <c r="AL37" s="4"/>
      <c r="AM37" s="105"/>
      <c r="AN37" s="106"/>
      <c r="AO37" s="105"/>
      <c r="AP37" s="106"/>
      <c r="AQ37" s="105"/>
      <c r="AR37" s="106"/>
      <c r="AS37" s="11"/>
      <c r="AT37" s="11"/>
      <c r="AU37" s="11"/>
      <c r="AV37" s="11"/>
      <c r="AW37" s="11"/>
      <c r="AX37" s="11"/>
      <c r="AY37" s="25"/>
      <c r="AZ37" s="26"/>
      <c r="BA37" s="196"/>
      <c r="BB37" s="7"/>
      <c r="BC37" s="10"/>
      <c r="BD37" s="10"/>
      <c r="BE37" s="10"/>
      <c r="BF37" s="10"/>
      <c r="BG37" s="10"/>
      <c r="BH37" s="10"/>
      <c r="BI37" s="5"/>
      <c r="BJ37" s="56"/>
      <c r="BK37" s="57"/>
      <c r="BL37" s="10"/>
      <c r="BM37" s="10"/>
      <c r="BN37" s="10"/>
      <c r="BO37" s="10"/>
      <c r="BP37" s="10"/>
      <c r="BQ37" s="5"/>
      <c r="BR37" s="68"/>
      <c r="BS37" s="69"/>
      <c r="BT37" s="10"/>
      <c r="BU37" s="10"/>
      <c r="BV37" s="10"/>
      <c r="BW37" s="10"/>
      <c r="BX37" s="10"/>
      <c r="BY37" s="5"/>
    </row>
    <row r="38" spans="1:77" ht="15" customHeight="1" x14ac:dyDescent="0.3">
      <c r="A38" s="10"/>
      <c r="B38" s="143"/>
      <c r="C38" s="144"/>
      <c r="D38" s="145"/>
      <c r="E38" s="10"/>
      <c r="F38" s="10"/>
      <c r="G38" s="10"/>
      <c r="H38" s="15"/>
      <c r="I38" s="20"/>
      <c r="J38" s="20"/>
      <c r="K38" s="20"/>
      <c r="L38" s="20"/>
      <c r="M38" s="20"/>
      <c r="N38" s="20"/>
      <c r="O38" s="16"/>
      <c r="P38" s="10"/>
      <c r="Q38" s="10"/>
      <c r="R38" s="10"/>
      <c r="S38" s="10"/>
      <c r="T38" s="25"/>
      <c r="U38" s="26"/>
      <c r="V38" s="10"/>
      <c r="W38" s="10"/>
      <c r="X38" s="10"/>
      <c r="Y38" s="10"/>
      <c r="Z38" s="199" t="s">
        <v>24</v>
      </c>
      <c r="AA38" s="336" t="s">
        <v>94</v>
      </c>
      <c r="AB38" s="337"/>
      <c r="AC38" s="337"/>
      <c r="AD38" s="337"/>
      <c r="AE38" s="337"/>
      <c r="AF38" s="337"/>
      <c r="AG38" s="337"/>
      <c r="AH38" s="337"/>
      <c r="AI38" s="337"/>
      <c r="AJ38" s="337"/>
      <c r="AK38" s="337"/>
      <c r="AL38" s="338"/>
      <c r="AM38" s="164" t="s">
        <v>102</v>
      </c>
      <c r="AN38" s="165"/>
      <c r="AO38" s="165"/>
      <c r="AP38" s="165"/>
      <c r="AQ38" s="165"/>
      <c r="AR38" s="165"/>
      <c r="AS38" s="165"/>
      <c r="AT38" s="165"/>
      <c r="AU38" s="165"/>
      <c r="AV38" s="165"/>
      <c r="AW38" s="165"/>
      <c r="AX38" s="165"/>
      <c r="AY38" s="25"/>
      <c r="AZ38" s="26"/>
      <c r="BA38" s="195" t="s">
        <v>31</v>
      </c>
      <c r="BB38" s="52" t="s">
        <v>147</v>
      </c>
      <c r="BC38" s="53"/>
      <c r="BD38" s="10"/>
      <c r="BE38" s="10"/>
      <c r="BF38" s="10"/>
      <c r="BG38" s="10"/>
      <c r="BH38" s="10"/>
      <c r="BI38" s="5"/>
      <c r="BJ38" s="7"/>
      <c r="BK38" s="10"/>
      <c r="BL38" s="10"/>
      <c r="BM38" s="10"/>
      <c r="BN38" s="10"/>
      <c r="BO38" s="10"/>
      <c r="BP38" s="10"/>
      <c r="BQ38" s="5"/>
      <c r="BR38" s="52" t="s">
        <v>159</v>
      </c>
      <c r="BS38" s="53"/>
      <c r="BT38" s="10"/>
      <c r="BU38" s="10"/>
      <c r="BV38" s="10"/>
      <c r="BW38" s="10"/>
      <c r="BX38" s="10"/>
      <c r="BY38" s="5"/>
    </row>
    <row r="39" spans="1:77" ht="14.4" customHeight="1" thickBot="1" x14ac:dyDescent="0.35">
      <c r="A39" s="10"/>
      <c r="B39" s="143"/>
      <c r="C39" s="144"/>
      <c r="D39" s="145"/>
      <c r="E39" s="10"/>
      <c r="F39" s="10"/>
      <c r="G39" s="10"/>
      <c r="H39" s="17"/>
      <c r="I39" s="18"/>
      <c r="J39" s="18"/>
      <c r="K39" s="18"/>
      <c r="L39" s="18"/>
      <c r="M39" s="18"/>
      <c r="N39" s="18"/>
      <c r="O39" s="19"/>
      <c r="P39" s="10"/>
      <c r="Q39" s="10"/>
      <c r="R39" s="10"/>
      <c r="S39" s="10"/>
      <c r="T39" s="25"/>
      <c r="U39" s="26"/>
      <c r="V39" s="10"/>
      <c r="W39" s="10"/>
      <c r="X39" s="10"/>
      <c r="Y39" s="10"/>
      <c r="Z39" s="200"/>
      <c r="AA39" s="339"/>
      <c r="AB39" s="340"/>
      <c r="AC39" s="340"/>
      <c r="AD39" s="340"/>
      <c r="AE39" s="340"/>
      <c r="AF39" s="340"/>
      <c r="AG39" s="340"/>
      <c r="AH39" s="340"/>
      <c r="AI39" s="340"/>
      <c r="AJ39" s="340"/>
      <c r="AK39" s="340"/>
      <c r="AL39" s="341"/>
      <c r="AM39" s="166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25"/>
      <c r="AZ39" s="26"/>
      <c r="BA39" s="213"/>
      <c r="BB39" s="54"/>
      <c r="BC39" s="55"/>
      <c r="BD39" s="10"/>
      <c r="BE39" s="10"/>
      <c r="BF39" s="10"/>
      <c r="BG39" s="10"/>
      <c r="BH39" s="10"/>
      <c r="BI39" s="5"/>
      <c r="BJ39" s="7"/>
      <c r="BK39" s="10"/>
      <c r="BL39" s="10"/>
      <c r="BM39" s="10"/>
      <c r="BN39" s="10"/>
      <c r="BO39" s="10"/>
      <c r="BP39" s="10"/>
      <c r="BQ39" s="5"/>
      <c r="BR39" s="54"/>
      <c r="BS39" s="55"/>
      <c r="BT39" s="10"/>
      <c r="BU39" s="10"/>
      <c r="BV39" s="10"/>
      <c r="BW39" s="10"/>
      <c r="BX39" s="10"/>
      <c r="BY39" s="5"/>
    </row>
    <row r="40" spans="1:77" ht="15" customHeight="1" x14ac:dyDescent="0.3">
      <c r="A40" s="10"/>
      <c r="B40" s="143"/>
      <c r="C40" s="144"/>
      <c r="D40" s="145"/>
      <c r="E40" s="10"/>
      <c r="F40" s="10"/>
      <c r="G40" s="10"/>
      <c r="H40" s="396" t="s">
        <v>187</v>
      </c>
      <c r="I40" s="397"/>
      <c r="J40" s="397"/>
      <c r="K40" s="397"/>
      <c r="L40" s="397"/>
      <c r="M40" s="397"/>
      <c r="N40" s="397"/>
      <c r="O40" s="398"/>
      <c r="P40" s="10"/>
      <c r="Q40" s="10"/>
      <c r="R40" s="10"/>
      <c r="S40" s="10"/>
      <c r="T40" s="25"/>
      <c r="U40" s="26"/>
      <c r="V40" s="10"/>
      <c r="W40" s="10"/>
      <c r="X40" s="10"/>
      <c r="Y40" s="10"/>
      <c r="Z40" s="110" t="s">
        <v>28</v>
      </c>
      <c r="AA40" s="101" t="s">
        <v>87</v>
      </c>
      <c r="AB40" s="102"/>
      <c r="AC40" s="101" t="s">
        <v>95</v>
      </c>
      <c r="AD40" s="102"/>
      <c r="AE40" s="101" t="s">
        <v>44</v>
      </c>
      <c r="AF40" s="102"/>
      <c r="AG40" s="101" t="s">
        <v>44</v>
      </c>
      <c r="AH40" s="102"/>
      <c r="AI40" s="101" t="s">
        <v>97</v>
      </c>
      <c r="AJ40" s="102"/>
      <c r="AK40" s="6"/>
      <c r="AL40" s="6"/>
      <c r="AM40" s="101" t="s">
        <v>103</v>
      </c>
      <c r="AN40" s="102"/>
      <c r="AO40" s="101" t="s">
        <v>33</v>
      </c>
      <c r="AP40" s="102"/>
      <c r="AQ40" s="101" t="s">
        <v>95</v>
      </c>
      <c r="AR40" s="102"/>
      <c r="AS40" s="101" t="s">
        <v>97</v>
      </c>
      <c r="AT40" s="102"/>
      <c r="AU40" s="101" t="s">
        <v>25</v>
      </c>
      <c r="AV40" s="102"/>
      <c r="AW40" s="9"/>
      <c r="AX40" s="9"/>
      <c r="AY40" s="25"/>
      <c r="AZ40" s="26"/>
      <c r="BA40" s="213"/>
      <c r="BB40" s="54"/>
      <c r="BC40" s="55"/>
      <c r="BD40" s="10"/>
      <c r="BE40" s="10"/>
      <c r="BF40" s="10"/>
      <c r="BG40" s="10"/>
      <c r="BH40" s="10"/>
      <c r="BI40" s="5"/>
      <c r="BJ40" s="7"/>
      <c r="BK40" s="10"/>
      <c r="BL40" s="10"/>
      <c r="BM40" s="10"/>
      <c r="BN40" s="10"/>
      <c r="BO40" s="10"/>
      <c r="BP40" s="10"/>
      <c r="BQ40" s="5"/>
      <c r="BR40" s="54"/>
      <c r="BS40" s="55"/>
      <c r="BT40" s="10"/>
      <c r="BU40" s="10"/>
      <c r="BV40" s="10"/>
      <c r="BW40" s="10"/>
      <c r="BX40" s="10"/>
      <c r="BY40" s="5"/>
    </row>
    <row r="41" spans="1:77" ht="15" customHeight="1" thickBot="1" x14ac:dyDescent="0.35">
      <c r="A41" s="10"/>
      <c r="B41" s="143"/>
      <c r="C41" s="144"/>
      <c r="D41" s="145"/>
      <c r="E41" s="10"/>
      <c r="F41" s="10"/>
      <c r="G41" s="10"/>
      <c r="H41" s="399"/>
      <c r="I41" s="400"/>
      <c r="J41" s="400"/>
      <c r="K41" s="400"/>
      <c r="L41" s="400"/>
      <c r="M41" s="400"/>
      <c r="N41" s="400"/>
      <c r="O41" s="401"/>
      <c r="P41" s="10"/>
      <c r="Q41" s="10"/>
      <c r="R41" s="10"/>
      <c r="S41" s="10"/>
      <c r="T41" s="25"/>
      <c r="U41" s="26"/>
      <c r="V41" s="10"/>
      <c r="W41" s="10"/>
      <c r="X41" s="10"/>
      <c r="Y41" s="10"/>
      <c r="Z41" s="111"/>
      <c r="AA41" s="103"/>
      <c r="AB41" s="104"/>
      <c r="AC41" s="103"/>
      <c r="AD41" s="104"/>
      <c r="AE41" s="103"/>
      <c r="AF41" s="104"/>
      <c r="AG41" s="103"/>
      <c r="AH41" s="104"/>
      <c r="AI41" s="103"/>
      <c r="AJ41" s="104"/>
      <c r="AK41" s="6"/>
      <c r="AL41" s="6"/>
      <c r="AM41" s="103"/>
      <c r="AN41" s="104"/>
      <c r="AO41" s="103"/>
      <c r="AP41" s="104"/>
      <c r="AQ41" s="103"/>
      <c r="AR41" s="104"/>
      <c r="AS41" s="103"/>
      <c r="AT41" s="104"/>
      <c r="AU41" s="103"/>
      <c r="AV41" s="104"/>
      <c r="AW41" s="10"/>
      <c r="AX41" s="10"/>
      <c r="AY41" s="25"/>
      <c r="AZ41" s="26"/>
      <c r="BA41" s="196"/>
      <c r="BB41" s="56"/>
      <c r="BC41" s="57"/>
      <c r="BD41" s="10"/>
      <c r="BE41" s="10"/>
      <c r="BF41" s="10"/>
      <c r="BG41" s="10"/>
      <c r="BH41" s="10"/>
      <c r="BI41" s="5"/>
      <c r="BJ41" s="7"/>
      <c r="BK41" s="10"/>
      <c r="BL41" s="10"/>
      <c r="BM41" s="10"/>
      <c r="BN41" s="10"/>
      <c r="BO41" s="10"/>
      <c r="BP41" s="10"/>
      <c r="BQ41" s="5"/>
      <c r="BR41" s="56"/>
      <c r="BS41" s="57"/>
      <c r="BT41" s="10"/>
      <c r="BU41" s="10"/>
      <c r="BV41" s="10"/>
      <c r="BW41" s="10"/>
      <c r="BX41" s="10"/>
      <c r="BY41" s="5"/>
    </row>
    <row r="42" spans="1:77" ht="15" customHeight="1" thickBot="1" x14ac:dyDescent="0.35">
      <c r="A42" s="10"/>
      <c r="B42" s="143"/>
      <c r="C42" s="144"/>
      <c r="D42" s="145"/>
      <c r="E42" s="10"/>
      <c r="F42" s="10"/>
      <c r="G42" s="10"/>
      <c r="H42" s="402" t="s">
        <v>2</v>
      </c>
      <c r="I42" s="403"/>
      <c r="J42" s="402" t="s">
        <v>3</v>
      </c>
      <c r="K42" s="403"/>
      <c r="L42" s="402" t="s">
        <v>4</v>
      </c>
      <c r="M42" s="403"/>
      <c r="N42" s="402" t="s">
        <v>5</v>
      </c>
      <c r="O42" s="403"/>
      <c r="P42" s="10"/>
      <c r="Q42" s="10"/>
      <c r="R42" s="10"/>
      <c r="S42" s="10"/>
      <c r="T42" s="25"/>
      <c r="U42" s="26"/>
      <c r="V42" s="10"/>
      <c r="W42" s="10"/>
      <c r="X42" s="10"/>
      <c r="Y42" s="10"/>
      <c r="Z42" s="111"/>
      <c r="AA42" s="103"/>
      <c r="AB42" s="104"/>
      <c r="AC42" s="103"/>
      <c r="AD42" s="104"/>
      <c r="AE42" s="103"/>
      <c r="AF42" s="104"/>
      <c r="AG42" s="103"/>
      <c r="AH42" s="104"/>
      <c r="AI42" s="103"/>
      <c r="AJ42" s="104"/>
      <c r="AK42" s="6"/>
      <c r="AL42" s="6"/>
      <c r="AM42" s="103"/>
      <c r="AN42" s="104"/>
      <c r="AO42" s="103"/>
      <c r="AP42" s="104"/>
      <c r="AQ42" s="103"/>
      <c r="AR42" s="104"/>
      <c r="AS42" s="103"/>
      <c r="AT42" s="104"/>
      <c r="AU42" s="103"/>
      <c r="AV42" s="104"/>
      <c r="AW42" s="10"/>
      <c r="AX42" s="10"/>
      <c r="AY42" s="25"/>
      <c r="AZ42" s="26"/>
      <c r="BA42" s="195" t="s">
        <v>139</v>
      </c>
      <c r="BB42" s="52" t="s">
        <v>145</v>
      </c>
      <c r="BC42" s="97"/>
      <c r="BD42" s="97"/>
      <c r="BE42" s="53"/>
      <c r="BF42" s="404" t="s">
        <v>146</v>
      </c>
      <c r="BG42" s="405"/>
      <c r="BH42" s="405"/>
      <c r="BI42" s="406"/>
      <c r="BJ42" s="7"/>
      <c r="BK42" s="10"/>
      <c r="BL42" s="10"/>
      <c r="BM42" s="10"/>
      <c r="BN42" s="10"/>
      <c r="BO42" s="10"/>
      <c r="BP42" s="10"/>
      <c r="BQ42" s="5"/>
      <c r="BR42" s="52" t="s">
        <v>160</v>
      </c>
      <c r="BS42" s="97"/>
      <c r="BT42" s="97"/>
      <c r="BU42" s="53"/>
      <c r="BV42" s="52" t="s">
        <v>161</v>
      </c>
      <c r="BW42" s="97"/>
      <c r="BX42" s="97"/>
      <c r="BY42" s="53"/>
    </row>
    <row r="43" spans="1:77" ht="15" thickBot="1" x14ac:dyDescent="0.35">
      <c r="A43" s="10"/>
      <c r="B43" s="143"/>
      <c r="C43" s="144"/>
      <c r="D43" s="145"/>
      <c r="E43" s="10"/>
      <c r="F43" s="10"/>
      <c r="G43" s="10"/>
      <c r="H43" s="30"/>
      <c r="I43" s="31"/>
      <c r="J43" s="31"/>
      <c r="K43" s="31"/>
      <c r="L43" s="31"/>
      <c r="M43" s="31"/>
      <c r="N43" s="31"/>
      <c r="O43" s="32"/>
      <c r="P43" s="10"/>
      <c r="Q43" s="10"/>
      <c r="R43" s="10"/>
      <c r="S43" s="10"/>
      <c r="T43" s="25"/>
      <c r="U43" s="26"/>
      <c r="V43" s="10"/>
      <c r="W43" s="10"/>
      <c r="X43" s="10"/>
      <c r="Y43" s="10"/>
      <c r="Z43" s="112"/>
      <c r="AA43" s="105"/>
      <c r="AB43" s="106"/>
      <c r="AC43" s="105"/>
      <c r="AD43" s="106"/>
      <c r="AE43" s="105"/>
      <c r="AF43" s="106"/>
      <c r="AG43" s="105"/>
      <c r="AH43" s="106"/>
      <c r="AI43" s="105"/>
      <c r="AJ43" s="106"/>
      <c r="AK43" s="6"/>
      <c r="AL43" s="6"/>
      <c r="AM43" s="105"/>
      <c r="AN43" s="106"/>
      <c r="AO43" s="105"/>
      <c r="AP43" s="106"/>
      <c r="AQ43" s="105"/>
      <c r="AR43" s="106"/>
      <c r="AS43" s="105"/>
      <c r="AT43" s="106"/>
      <c r="AU43" s="105"/>
      <c r="AV43" s="106"/>
      <c r="AW43" s="10"/>
      <c r="AX43" s="10"/>
      <c r="AY43" s="25"/>
      <c r="AZ43" s="26"/>
      <c r="BA43" s="196"/>
      <c r="BB43" s="56"/>
      <c r="BC43" s="98"/>
      <c r="BD43" s="98"/>
      <c r="BE43" s="57"/>
      <c r="BF43" s="404" t="s">
        <v>149</v>
      </c>
      <c r="BG43" s="405"/>
      <c r="BH43" s="405"/>
      <c r="BI43" s="406"/>
      <c r="BJ43" s="7"/>
      <c r="BK43" s="10"/>
      <c r="BL43" s="10"/>
      <c r="BM43" s="10"/>
      <c r="BN43" s="10"/>
      <c r="BO43" s="10"/>
      <c r="BP43" s="10"/>
      <c r="BQ43" s="5"/>
      <c r="BR43" s="56"/>
      <c r="BS43" s="98"/>
      <c r="BT43" s="98"/>
      <c r="BU43" s="57"/>
      <c r="BV43" s="56"/>
      <c r="BW43" s="98"/>
      <c r="BX43" s="98"/>
      <c r="BY43" s="57"/>
    </row>
    <row r="44" spans="1:77" ht="14.4" customHeight="1" x14ac:dyDescent="0.3">
      <c r="A44" s="10"/>
      <c r="B44" s="143"/>
      <c r="C44" s="144"/>
      <c r="D44" s="145"/>
      <c r="E44" s="10"/>
      <c r="F44" s="10"/>
      <c r="G44" s="10"/>
      <c r="H44" s="33"/>
      <c r="I44" s="34"/>
      <c r="J44" s="34"/>
      <c r="K44" s="34"/>
      <c r="L44" s="34"/>
      <c r="M44" s="34"/>
      <c r="N44" s="34"/>
      <c r="O44" s="35"/>
      <c r="P44" s="10"/>
      <c r="Q44" s="10"/>
      <c r="R44" s="10"/>
      <c r="S44" s="10"/>
      <c r="T44" s="25"/>
      <c r="U44" s="26"/>
      <c r="V44" s="10"/>
      <c r="W44" s="10"/>
      <c r="X44" s="10"/>
      <c r="Y44" s="10"/>
      <c r="Z44" s="110" t="s">
        <v>29</v>
      </c>
      <c r="AA44" s="101" t="s">
        <v>96</v>
      </c>
      <c r="AB44" s="102"/>
      <c r="AC44" s="101" t="s">
        <v>98</v>
      </c>
      <c r="AD44" s="102"/>
      <c r="AE44" s="101" t="s">
        <v>72</v>
      </c>
      <c r="AF44" s="102"/>
      <c r="AG44" s="101" t="s">
        <v>34</v>
      </c>
      <c r="AH44" s="102"/>
      <c r="AI44" s="103" t="s">
        <v>99</v>
      </c>
      <c r="AJ44" s="104"/>
      <c r="AK44" s="6"/>
      <c r="AL44" s="6"/>
      <c r="AM44" s="101" t="s">
        <v>104</v>
      </c>
      <c r="AN44" s="102"/>
      <c r="AO44" s="101" t="s">
        <v>99</v>
      </c>
      <c r="AP44" s="102"/>
      <c r="AQ44" s="101" t="s">
        <v>34</v>
      </c>
      <c r="AR44" s="102"/>
      <c r="AS44" s="101" t="s">
        <v>50</v>
      </c>
      <c r="AT44" s="102"/>
      <c r="AU44" s="10"/>
      <c r="AV44" s="10"/>
      <c r="AW44" s="10"/>
      <c r="AX44" s="10"/>
      <c r="AY44" s="25"/>
      <c r="AZ44" s="26"/>
      <c r="BA44" s="195" t="s">
        <v>140</v>
      </c>
      <c r="BB44" s="52" t="s">
        <v>148</v>
      </c>
      <c r="BC44" s="97"/>
      <c r="BD44" s="97"/>
      <c r="BE44" s="53"/>
      <c r="BF44" s="10"/>
      <c r="BG44" s="10"/>
      <c r="BH44" s="10"/>
      <c r="BI44" s="5"/>
      <c r="BJ44" s="52" t="s">
        <v>156</v>
      </c>
      <c r="BK44" s="97"/>
      <c r="BL44" s="97"/>
      <c r="BM44" s="53"/>
      <c r="BN44" s="10"/>
      <c r="BO44" s="10"/>
      <c r="BP44" s="10"/>
      <c r="BQ44" s="5"/>
      <c r="BR44" s="7"/>
      <c r="BS44" s="10"/>
      <c r="BT44" s="10"/>
      <c r="BU44" s="10"/>
      <c r="BV44" s="10"/>
      <c r="BW44" s="10"/>
      <c r="BX44" s="10"/>
      <c r="BY44" s="5"/>
    </row>
    <row r="45" spans="1:77" ht="15" thickBot="1" x14ac:dyDescent="0.35">
      <c r="A45" s="10"/>
      <c r="B45" s="143"/>
      <c r="C45" s="144"/>
      <c r="D45" s="145"/>
      <c r="E45" s="10"/>
      <c r="F45" s="10"/>
      <c r="G45" s="10"/>
      <c r="H45" s="33"/>
      <c r="I45" s="34"/>
      <c r="J45" s="34"/>
      <c r="K45" s="34"/>
      <c r="L45" s="34"/>
      <c r="M45" s="34"/>
      <c r="N45" s="34"/>
      <c r="O45" s="35"/>
      <c r="P45" s="10"/>
      <c r="Q45" s="10"/>
      <c r="R45" s="10"/>
      <c r="S45" s="10"/>
      <c r="T45" s="25"/>
      <c r="U45" s="26"/>
      <c r="V45" s="10"/>
      <c r="W45" s="10"/>
      <c r="X45" s="10"/>
      <c r="Y45" s="10"/>
      <c r="Z45" s="111"/>
      <c r="AA45" s="103"/>
      <c r="AB45" s="104"/>
      <c r="AC45" s="103"/>
      <c r="AD45" s="104"/>
      <c r="AE45" s="103"/>
      <c r="AF45" s="104"/>
      <c r="AG45" s="103"/>
      <c r="AH45" s="104"/>
      <c r="AI45" s="103"/>
      <c r="AJ45" s="104"/>
      <c r="AK45" s="6"/>
      <c r="AL45" s="6"/>
      <c r="AM45" s="103"/>
      <c r="AN45" s="104"/>
      <c r="AO45" s="103"/>
      <c r="AP45" s="104"/>
      <c r="AQ45" s="103"/>
      <c r="AR45" s="104"/>
      <c r="AS45" s="103"/>
      <c r="AT45" s="104"/>
      <c r="AU45" s="10"/>
      <c r="AV45" s="10"/>
      <c r="AW45" s="10"/>
      <c r="AX45" s="10"/>
      <c r="AY45" s="25"/>
      <c r="AZ45" s="26"/>
      <c r="BA45" s="196"/>
      <c r="BB45" s="56"/>
      <c r="BC45" s="98"/>
      <c r="BD45" s="98"/>
      <c r="BE45" s="57"/>
      <c r="BF45" s="11"/>
      <c r="BG45" s="11"/>
      <c r="BH45" s="11"/>
      <c r="BI45" s="4"/>
      <c r="BJ45" s="56"/>
      <c r="BK45" s="98"/>
      <c r="BL45" s="98"/>
      <c r="BM45" s="57"/>
      <c r="BN45" s="11"/>
      <c r="BO45" s="11"/>
      <c r="BP45" s="11"/>
      <c r="BQ45" s="4"/>
      <c r="BR45" s="8"/>
      <c r="BS45" s="11"/>
      <c r="BT45" s="11"/>
      <c r="BU45" s="11"/>
      <c r="BV45" s="11"/>
      <c r="BW45" s="11"/>
      <c r="BX45" s="11"/>
      <c r="BY45" s="4"/>
    </row>
    <row r="46" spans="1:77" ht="14.4" customHeight="1" x14ac:dyDescent="0.3">
      <c r="A46" s="10"/>
      <c r="B46" s="143"/>
      <c r="C46" s="144"/>
      <c r="D46" s="145"/>
      <c r="E46" s="10"/>
      <c r="F46" s="10"/>
      <c r="G46" s="10"/>
      <c r="H46" s="33"/>
      <c r="I46" s="34"/>
      <c r="J46" s="34"/>
      <c r="K46" s="34"/>
      <c r="L46" s="34"/>
      <c r="M46" s="34"/>
      <c r="N46" s="34"/>
      <c r="O46" s="35"/>
      <c r="P46" s="10"/>
      <c r="Q46" s="10"/>
      <c r="R46" s="10"/>
      <c r="S46" s="10"/>
      <c r="T46" s="25"/>
      <c r="U46" s="26"/>
      <c r="V46" s="10"/>
      <c r="W46" s="10"/>
      <c r="X46" s="10"/>
      <c r="Y46" s="10"/>
      <c r="Z46" s="111"/>
      <c r="AA46" s="103"/>
      <c r="AB46" s="104"/>
      <c r="AC46" s="103"/>
      <c r="AD46" s="104"/>
      <c r="AE46" s="103"/>
      <c r="AF46" s="104"/>
      <c r="AG46" s="103"/>
      <c r="AH46" s="104"/>
      <c r="AI46" s="103"/>
      <c r="AJ46" s="104"/>
      <c r="AK46" s="6"/>
      <c r="AL46" s="6"/>
      <c r="AM46" s="103"/>
      <c r="AN46" s="104"/>
      <c r="AO46" s="103"/>
      <c r="AP46" s="104"/>
      <c r="AQ46" s="103"/>
      <c r="AR46" s="104"/>
      <c r="AS46" s="103"/>
      <c r="AT46" s="104"/>
      <c r="AU46" s="10"/>
      <c r="AV46" s="10"/>
      <c r="AW46" s="10"/>
      <c r="AX46" s="10"/>
      <c r="AY46" s="25"/>
      <c r="AZ46" s="26"/>
      <c r="BA46" s="197" t="s">
        <v>24</v>
      </c>
      <c r="BB46" s="407" t="s">
        <v>188</v>
      </c>
      <c r="BC46" s="408"/>
      <c r="BD46" s="408"/>
      <c r="BE46" s="408"/>
      <c r="BF46" s="408"/>
      <c r="BG46" s="408"/>
      <c r="BH46" s="408"/>
      <c r="BI46" s="409"/>
      <c r="BJ46" s="425" t="s">
        <v>197</v>
      </c>
      <c r="BK46" s="426"/>
      <c r="BL46" s="426"/>
      <c r="BM46" s="426"/>
      <c r="BN46" s="426"/>
      <c r="BO46" s="426"/>
      <c r="BP46" s="426"/>
      <c r="BQ46" s="427"/>
      <c r="BR46" s="431" t="s">
        <v>195</v>
      </c>
      <c r="BS46" s="432"/>
      <c r="BT46" s="432"/>
      <c r="BU46" s="432"/>
      <c r="BV46" s="432"/>
      <c r="BW46" s="432"/>
      <c r="BX46" s="432"/>
      <c r="BY46" s="433"/>
    </row>
    <row r="47" spans="1:77" ht="14.4" customHeight="1" thickBot="1" x14ac:dyDescent="0.35">
      <c r="A47" s="10"/>
      <c r="B47" s="143"/>
      <c r="C47" s="144"/>
      <c r="D47" s="145"/>
      <c r="E47" s="10"/>
      <c r="F47" s="10"/>
      <c r="G47" s="10"/>
      <c r="H47" s="33"/>
      <c r="I47" s="34"/>
      <c r="J47" s="34"/>
      <c r="K47" s="34"/>
      <c r="L47" s="34"/>
      <c r="M47" s="34"/>
      <c r="N47" s="34"/>
      <c r="O47" s="35"/>
      <c r="P47" s="10"/>
      <c r="Q47" s="10"/>
      <c r="R47" s="10"/>
      <c r="S47" s="10"/>
      <c r="T47" s="25"/>
      <c r="U47" s="26"/>
      <c r="V47" s="10"/>
      <c r="W47" s="10"/>
      <c r="X47" s="10"/>
      <c r="Y47" s="10"/>
      <c r="Z47" s="112"/>
      <c r="AA47" s="105"/>
      <c r="AB47" s="106"/>
      <c r="AC47" s="105"/>
      <c r="AD47" s="106"/>
      <c r="AE47" s="105"/>
      <c r="AF47" s="106"/>
      <c r="AG47" s="105"/>
      <c r="AH47" s="106"/>
      <c r="AI47" s="105"/>
      <c r="AJ47" s="106"/>
      <c r="AK47" s="6"/>
      <c r="AL47" s="6"/>
      <c r="AM47" s="105"/>
      <c r="AN47" s="106"/>
      <c r="AO47" s="105"/>
      <c r="AP47" s="106"/>
      <c r="AQ47" s="105"/>
      <c r="AR47" s="106"/>
      <c r="AS47" s="105"/>
      <c r="AT47" s="106"/>
      <c r="AU47" s="10"/>
      <c r="AV47" s="10"/>
      <c r="AW47" s="10"/>
      <c r="AX47" s="10"/>
      <c r="AY47" s="25"/>
      <c r="AZ47" s="26"/>
      <c r="BA47" s="198"/>
      <c r="BB47" s="410"/>
      <c r="BC47" s="411"/>
      <c r="BD47" s="411"/>
      <c r="BE47" s="411"/>
      <c r="BF47" s="411"/>
      <c r="BG47" s="411"/>
      <c r="BH47" s="411"/>
      <c r="BI47" s="412"/>
      <c r="BJ47" s="428"/>
      <c r="BK47" s="429"/>
      <c r="BL47" s="429"/>
      <c r="BM47" s="429"/>
      <c r="BN47" s="429"/>
      <c r="BO47" s="429"/>
      <c r="BP47" s="429"/>
      <c r="BQ47" s="430"/>
      <c r="BR47" s="434"/>
      <c r="BS47" s="435"/>
      <c r="BT47" s="435"/>
      <c r="BU47" s="435"/>
      <c r="BV47" s="435"/>
      <c r="BW47" s="435"/>
      <c r="BX47" s="435"/>
      <c r="BY47" s="436"/>
    </row>
    <row r="48" spans="1:77" ht="14.4" customHeight="1" x14ac:dyDescent="0.3">
      <c r="A48" s="10"/>
      <c r="B48" s="143"/>
      <c r="C48" s="144"/>
      <c r="D48" s="145"/>
      <c r="E48" s="10"/>
      <c r="F48" s="10"/>
      <c r="G48" s="10"/>
      <c r="H48" s="33"/>
      <c r="I48" s="34"/>
      <c r="J48" s="34"/>
      <c r="K48" s="34"/>
      <c r="L48" s="34"/>
      <c r="M48" s="34"/>
      <c r="N48" s="34"/>
      <c r="O48" s="35"/>
      <c r="P48" s="10"/>
      <c r="Q48" s="10"/>
      <c r="R48" s="10"/>
      <c r="S48" s="10"/>
      <c r="T48" s="25"/>
      <c r="U48" s="26"/>
      <c r="V48" s="10"/>
      <c r="W48" s="10"/>
      <c r="X48" s="10"/>
      <c r="Y48" s="10"/>
      <c r="Z48" s="110" t="s">
        <v>30</v>
      </c>
      <c r="AA48" s="101" t="s">
        <v>73</v>
      </c>
      <c r="AB48" s="102"/>
      <c r="AC48" s="101" t="s">
        <v>40</v>
      </c>
      <c r="AD48" s="102"/>
      <c r="AE48" s="6"/>
      <c r="AF48" s="6"/>
      <c r="AG48" s="6"/>
      <c r="AH48" s="6"/>
      <c r="AI48" s="6"/>
      <c r="AJ48" s="6"/>
      <c r="AK48" s="6"/>
      <c r="AL48" s="6"/>
      <c r="AM48" s="313" t="s">
        <v>105</v>
      </c>
      <c r="AN48" s="314"/>
      <c r="AO48" s="101" t="s">
        <v>106</v>
      </c>
      <c r="AP48" s="102"/>
      <c r="AQ48" s="10"/>
      <c r="AR48" s="10"/>
      <c r="AS48" s="10"/>
      <c r="AT48" s="10"/>
      <c r="AU48" s="10"/>
      <c r="AV48" s="10"/>
      <c r="AW48" s="10"/>
      <c r="AX48" s="41"/>
      <c r="AY48" s="25"/>
      <c r="AZ48" s="26"/>
      <c r="BA48" s="195" t="s">
        <v>28</v>
      </c>
      <c r="BB48" s="52" t="s">
        <v>190</v>
      </c>
      <c r="BC48" s="53"/>
      <c r="BD48" s="10"/>
      <c r="BE48" s="10"/>
      <c r="BF48" s="10"/>
      <c r="BG48" s="10"/>
      <c r="BH48" s="10"/>
      <c r="BI48" s="5"/>
      <c r="BJ48" s="52" t="s">
        <v>196</v>
      </c>
      <c r="BK48" s="53"/>
      <c r="BL48" s="52" t="s">
        <v>158</v>
      </c>
      <c r="BM48" s="53"/>
      <c r="BN48" s="10"/>
      <c r="BO48" s="10"/>
      <c r="BP48" s="10"/>
      <c r="BQ48" s="5"/>
      <c r="BR48" s="7"/>
      <c r="BS48" s="10"/>
      <c r="BT48" s="10"/>
      <c r="BU48" s="10"/>
      <c r="BV48" s="10"/>
      <c r="BW48" s="10"/>
      <c r="BX48" s="10"/>
      <c r="BY48" s="5"/>
    </row>
    <row r="49" spans="1:77" ht="15" customHeight="1" thickBot="1" x14ac:dyDescent="0.35">
      <c r="A49" s="10"/>
      <c r="B49" s="492"/>
      <c r="C49" s="493"/>
      <c r="D49" s="494"/>
      <c r="E49" s="10"/>
      <c r="F49" s="10"/>
      <c r="G49" s="10"/>
      <c r="H49" s="33"/>
      <c r="I49" s="34"/>
      <c r="J49" s="34"/>
      <c r="K49" s="34"/>
      <c r="L49" s="34"/>
      <c r="M49" s="34"/>
      <c r="N49" s="34"/>
      <c r="O49" s="35"/>
      <c r="P49" s="10"/>
      <c r="Q49" s="10"/>
      <c r="R49" s="10"/>
      <c r="S49" s="10"/>
      <c r="T49" s="25"/>
      <c r="U49" s="26"/>
      <c r="V49" s="10"/>
      <c r="W49" s="10"/>
      <c r="X49" s="10"/>
      <c r="Y49" s="10"/>
      <c r="Z49" s="111"/>
      <c r="AA49" s="103"/>
      <c r="AB49" s="104"/>
      <c r="AC49" s="103"/>
      <c r="AD49" s="104"/>
      <c r="AE49" s="6"/>
      <c r="AF49" s="6"/>
      <c r="AG49" s="6"/>
      <c r="AH49" s="6"/>
      <c r="AI49" s="6"/>
      <c r="AJ49" s="6"/>
      <c r="AK49" s="6"/>
      <c r="AL49" s="6"/>
      <c r="AM49" s="315"/>
      <c r="AN49" s="316"/>
      <c r="AO49" s="103"/>
      <c r="AP49" s="104"/>
      <c r="AQ49" s="10"/>
      <c r="AR49" s="10"/>
      <c r="AS49" s="10"/>
      <c r="AT49" s="10"/>
      <c r="AU49" s="10"/>
      <c r="AV49" s="10"/>
      <c r="AW49" s="10"/>
      <c r="AX49" s="10"/>
      <c r="AY49" s="25"/>
      <c r="AZ49" s="26"/>
      <c r="BA49" s="213"/>
      <c r="BB49" s="54"/>
      <c r="BC49" s="55"/>
      <c r="BD49" s="10"/>
      <c r="BE49" s="10"/>
      <c r="BF49" s="10"/>
      <c r="BG49" s="10"/>
      <c r="BH49" s="10"/>
      <c r="BI49" s="5"/>
      <c r="BJ49" s="54"/>
      <c r="BK49" s="55"/>
      <c r="BL49" s="54"/>
      <c r="BM49" s="55"/>
      <c r="BN49" s="10"/>
      <c r="BO49" s="10"/>
      <c r="BP49" s="10"/>
      <c r="BQ49" s="5"/>
      <c r="BR49" s="7"/>
      <c r="BS49" s="10"/>
      <c r="BT49" s="10"/>
      <c r="BU49" s="10"/>
      <c r="BV49" s="10"/>
      <c r="BW49" s="10"/>
      <c r="BX49" s="10"/>
      <c r="BY49" s="5"/>
    </row>
    <row r="50" spans="1:77" ht="14.4" customHeight="1" thickTop="1" x14ac:dyDescent="0.3">
      <c r="A50" s="10"/>
      <c r="B50" s="122" t="s">
        <v>207</v>
      </c>
      <c r="C50" s="123"/>
      <c r="D50" s="124"/>
      <c r="E50" s="10"/>
      <c r="F50" s="10"/>
      <c r="G50" s="10"/>
      <c r="H50" s="33"/>
      <c r="I50" s="34"/>
      <c r="J50" s="34"/>
      <c r="K50" s="34"/>
      <c r="L50" s="34"/>
      <c r="M50" s="34"/>
      <c r="N50" s="34"/>
      <c r="O50" s="35"/>
      <c r="P50" s="10"/>
      <c r="Q50" s="10"/>
      <c r="R50" s="10"/>
      <c r="S50" s="10"/>
      <c r="T50" s="25"/>
      <c r="U50" s="26"/>
      <c r="V50" s="10"/>
      <c r="W50" s="10"/>
      <c r="X50" s="10"/>
      <c r="Y50" s="10"/>
      <c r="Z50" s="111"/>
      <c r="AA50" s="103"/>
      <c r="AB50" s="104"/>
      <c r="AC50" s="103"/>
      <c r="AD50" s="104"/>
      <c r="AE50" s="6"/>
      <c r="AF50" s="6"/>
      <c r="AG50" s="6"/>
      <c r="AH50" s="6"/>
      <c r="AI50" s="6"/>
      <c r="AJ50" s="6"/>
      <c r="AK50" s="6"/>
      <c r="AL50" s="6"/>
      <c r="AM50" s="315"/>
      <c r="AN50" s="316"/>
      <c r="AO50" s="103"/>
      <c r="AP50" s="104"/>
      <c r="AQ50" s="10"/>
      <c r="AR50" s="10"/>
      <c r="AS50" s="10"/>
      <c r="AT50" s="10"/>
      <c r="AU50" s="10"/>
      <c r="AV50" s="10"/>
      <c r="AW50" s="10"/>
      <c r="AX50" s="10"/>
      <c r="AY50" s="25"/>
      <c r="AZ50" s="26"/>
      <c r="BA50" s="213"/>
      <c r="BB50" s="54"/>
      <c r="BC50" s="55"/>
      <c r="BD50" s="10"/>
      <c r="BE50" s="10"/>
      <c r="BF50" s="10"/>
      <c r="BG50" s="10"/>
      <c r="BH50" s="10"/>
      <c r="BI50" s="5"/>
      <c r="BJ50" s="54"/>
      <c r="BK50" s="55"/>
      <c r="BL50" s="54"/>
      <c r="BM50" s="55"/>
      <c r="BN50" s="10"/>
      <c r="BO50" s="10"/>
      <c r="BP50" s="10"/>
      <c r="BQ50" s="5"/>
      <c r="BR50" s="7"/>
      <c r="BS50" s="10"/>
      <c r="BT50" s="10"/>
      <c r="BU50" s="10"/>
      <c r="BV50" s="10"/>
      <c r="BW50" s="10"/>
      <c r="BX50" s="10"/>
      <c r="BY50" s="5"/>
    </row>
    <row r="51" spans="1:77" ht="15" thickBot="1" x14ac:dyDescent="0.35">
      <c r="A51" s="10"/>
      <c r="B51" s="122"/>
      <c r="C51" s="123"/>
      <c r="D51" s="124"/>
      <c r="E51" s="10"/>
      <c r="F51" s="10"/>
      <c r="G51" s="10"/>
      <c r="H51" s="33"/>
      <c r="I51" s="34"/>
      <c r="J51" s="34"/>
      <c r="K51" s="34"/>
      <c r="L51" s="34"/>
      <c r="M51" s="34"/>
      <c r="N51" s="34"/>
      <c r="O51" s="35"/>
      <c r="P51" s="10"/>
      <c r="Q51" s="10"/>
      <c r="R51" s="10"/>
      <c r="S51" s="10"/>
      <c r="T51" s="25"/>
      <c r="U51" s="26"/>
      <c r="V51" s="10"/>
      <c r="W51" s="10"/>
      <c r="X51" s="10"/>
      <c r="Y51" s="10"/>
      <c r="Z51" s="112"/>
      <c r="AA51" s="105"/>
      <c r="AB51" s="106"/>
      <c r="AC51" s="105"/>
      <c r="AD51" s="106"/>
      <c r="AE51" s="6"/>
      <c r="AF51" s="6"/>
      <c r="AG51" s="6"/>
      <c r="AH51" s="6"/>
      <c r="AI51" s="6"/>
      <c r="AJ51" s="6"/>
      <c r="AK51" s="6"/>
      <c r="AL51" s="6"/>
      <c r="AM51" s="317"/>
      <c r="AN51" s="318"/>
      <c r="AO51" s="105"/>
      <c r="AP51" s="106"/>
      <c r="AQ51" s="10"/>
      <c r="AR51" s="10"/>
      <c r="AS51" s="10"/>
      <c r="AT51" s="10"/>
      <c r="AU51" s="10"/>
      <c r="AV51" s="10"/>
      <c r="AW51" s="10"/>
      <c r="AX51" s="10"/>
      <c r="AY51" s="25"/>
      <c r="AZ51" s="26"/>
      <c r="BA51" s="196"/>
      <c r="BB51" s="56"/>
      <c r="BC51" s="57"/>
      <c r="BD51" s="10"/>
      <c r="BE51" s="10"/>
      <c r="BF51" s="10"/>
      <c r="BG51" s="10"/>
      <c r="BH51" s="10"/>
      <c r="BI51" s="5"/>
      <c r="BJ51" s="56"/>
      <c r="BK51" s="57"/>
      <c r="BL51" s="56"/>
      <c r="BM51" s="57"/>
      <c r="BN51" s="10"/>
      <c r="BO51" s="10"/>
      <c r="BP51" s="10"/>
      <c r="BQ51" s="5"/>
      <c r="BR51" s="7"/>
      <c r="BS51" s="10"/>
      <c r="BT51" s="10"/>
      <c r="BU51" s="10"/>
      <c r="BV51" s="10"/>
      <c r="BW51" s="10"/>
      <c r="BX51" s="10"/>
      <c r="BY51" s="5"/>
    </row>
    <row r="52" spans="1:77" ht="14.4" customHeight="1" x14ac:dyDescent="0.3">
      <c r="A52" s="10"/>
      <c r="B52" s="122"/>
      <c r="C52" s="123"/>
      <c r="D52" s="124"/>
      <c r="E52" s="10"/>
      <c r="F52" s="10"/>
      <c r="G52" s="10"/>
      <c r="H52" s="33"/>
      <c r="I52" s="34"/>
      <c r="J52" s="34"/>
      <c r="K52" s="34"/>
      <c r="L52" s="34"/>
      <c r="M52" s="34"/>
      <c r="N52" s="34"/>
      <c r="O52" s="35"/>
      <c r="P52" s="10"/>
      <c r="Q52" s="10"/>
      <c r="R52" s="10"/>
      <c r="S52" s="10"/>
      <c r="T52" s="25"/>
      <c r="U52" s="26"/>
      <c r="V52" s="10"/>
      <c r="W52" s="10"/>
      <c r="X52" s="10"/>
      <c r="Y52" s="10"/>
      <c r="Z52" s="110" t="s">
        <v>31</v>
      </c>
      <c r="AA52" s="101" t="s">
        <v>100</v>
      </c>
      <c r="AB52" s="102"/>
      <c r="AC52" s="101" t="s">
        <v>88</v>
      </c>
      <c r="AD52" s="102"/>
      <c r="AE52" s="101" t="s">
        <v>101</v>
      </c>
      <c r="AF52" s="102"/>
      <c r="AG52" s="101" t="s">
        <v>56</v>
      </c>
      <c r="AH52" s="102"/>
      <c r="AI52" s="101" t="s">
        <v>59</v>
      </c>
      <c r="AJ52" s="102"/>
      <c r="AK52" s="6"/>
      <c r="AL52" s="6"/>
      <c r="AM52" s="101" t="s">
        <v>107</v>
      </c>
      <c r="AN52" s="102"/>
      <c r="AO52" s="101" t="s">
        <v>91</v>
      </c>
      <c r="AP52" s="102"/>
      <c r="AQ52" s="101" t="s">
        <v>88</v>
      </c>
      <c r="AR52" s="102"/>
      <c r="AS52" s="101" t="s">
        <v>26</v>
      </c>
      <c r="AT52" s="102"/>
      <c r="AU52" s="10"/>
      <c r="AV52" s="10"/>
      <c r="AW52" s="10"/>
      <c r="AX52" s="10"/>
      <c r="AY52" s="25"/>
      <c r="AZ52" s="26"/>
      <c r="BA52" s="195" t="s">
        <v>29</v>
      </c>
      <c r="BB52" s="52" t="s">
        <v>189</v>
      </c>
      <c r="BC52" s="53"/>
      <c r="BD52" s="10"/>
      <c r="BE52" s="10"/>
      <c r="BF52" s="10"/>
      <c r="BG52" s="10"/>
      <c r="BH52" s="10"/>
      <c r="BI52" s="5"/>
      <c r="BJ52" s="52" t="s">
        <v>70</v>
      </c>
      <c r="BK52" s="53"/>
      <c r="BL52" s="10"/>
      <c r="BM52" s="10"/>
      <c r="BN52" s="10"/>
      <c r="BO52" s="10"/>
      <c r="BP52" s="10"/>
      <c r="BQ52" s="5"/>
      <c r="BR52" s="7"/>
      <c r="BS52" s="10"/>
      <c r="BT52" s="10"/>
      <c r="BU52" s="10"/>
      <c r="BV52" s="10"/>
      <c r="BW52" s="10"/>
      <c r="BX52" s="10"/>
      <c r="BY52" s="5"/>
    </row>
    <row r="53" spans="1:77" ht="14.4" customHeight="1" x14ac:dyDescent="0.3">
      <c r="A53" s="10"/>
      <c r="B53" s="122"/>
      <c r="C53" s="123"/>
      <c r="D53" s="124"/>
      <c r="E53" s="10"/>
      <c r="F53" s="10"/>
      <c r="G53" s="10"/>
      <c r="H53" s="33"/>
      <c r="I53" s="34"/>
      <c r="J53" s="34"/>
      <c r="K53" s="34"/>
      <c r="L53" s="34"/>
      <c r="M53" s="34"/>
      <c r="N53" s="34"/>
      <c r="O53" s="35"/>
      <c r="P53" s="10"/>
      <c r="Q53" s="10"/>
      <c r="R53" s="10"/>
      <c r="S53" s="10"/>
      <c r="T53" s="25"/>
      <c r="U53" s="26"/>
      <c r="V53" s="10"/>
      <c r="W53" s="10"/>
      <c r="X53" s="10"/>
      <c r="Y53" s="10"/>
      <c r="Z53" s="111"/>
      <c r="AA53" s="103"/>
      <c r="AB53" s="104"/>
      <c r="AC53" s="103"/>
      <c r="AD53" s="104"/>
      <c r="AE53" s="103"/>
      <c r="AF53" s="104"/>
      <c r="AG53" s="103"/>
      <c r="AH53" s="104"/>
      <c r="AI53" s="103"/>
      <c r="AJ53" s="104"/>
      <c r="AK53" s="6"/>
      <c r="AL53" s="6"/>
      <c r="AM53" s="103"/>
      <c r="AN53" s="104"/>
      <c r="AO53" s="103"/>
      <c r="AP53" s="104"/>
      <c r="AQ53" s="103"/>
      <c r="AR53" s="104"/>
      <c r="AS53" s="103"/>
      <c r="AT53" s="104"/>
      <c r="AU53" s="10"/>
      <c r="AV53" s="10"/>
      <c r="AW53" s="10"/>
      <c r="AX53" s="10"/>
      <c r="AY53" s="25"/>
      <c r="AZ53" s="26"/>
      <c r="BA53" s="213"/>
      <c r="BB53" s="54"/>
      <c r="BC53" s="55"/>
      <c r="BD53" s="10"/>
      <c r="BE53" s="10"/>
      <c r="BF53" s="10"/>
      <c r="BG53" s="10"/>
      <c r="BH53" s="10"/>
      <c r="BI53" s="5"/>
      <c r="BJ53" s="54"/>
      <c r="BK53" s="55"/>
      <c r="BL53" s="10"/>
      <c r="BM53" s="10"/>
      <c r="BN53" s="10"/>
      <c r="BO53" s="10"/>
      <c r="BP53" s="10"/>
      <c r="BQ53" s="5"/>
      <c r="BR53" s="7"/>
      <c r="BS53" s="10"/>
      <c r="BT53" s="10"/>
      <c r="BU53" s="10"/>
      <c r="BV53" s="10"/>
      <c r="BW53" s="10"/>
      <c r="BX53" s="10"/>
      <c r="BY53" s="5"/>
    </row>
    <row r="54" spans="1:77" x14ac:dyDescent="0.3">
      <c r="A54" s="10"/>
      <c r="B54" s="122"/>
      <c r="C54" s="123"/>
      <c r="D54" s="124"/>
      <c r="E54" s="10"/>
      <c r="F54" s="10"/>
      <c r="G54" s="10"/>
      <c r="H54" s="33"/>
      <c r="I54" s="34"/>
      <c r="J54" s="34"/>
      <c r="K54" s="34"/>
      <c r="L54" s="34"/>
      <c r="M54" s="34"/>
      <c r="N54" s="34"/>
      <c r="O54" s="35"/>
      <c r="P54" s="10"/>
      <c r="Q54" s="10"/>
      <c r="R54" s="10"/>
      <c r="S54" s="10"/>
      <c r="T54" s="25"/>
      <c r="U54" s="26"/>
      <c r="V54" s="10"/>
      <c r="W54" s="10"/>
      <c r="X54" s="10"/>
      <c r="Y54" s="10"/>
      <c r="Z54" s="111"/>
      <c r="AA54" s="103"/>
      <c r="AB54" s="104"/>
      <c r="AC54" s="103"/>
      <c r="AD54" s="104"/>
      <c r="AE54" s="103"/>
      <c r="AF54" s="104"/>
      <c r="AG54" s="103"/>
      <c r="AH54" s="104"/>
      <c r="AI54" s="103"/>
      <c r="AJ54" s="104"/>
      <c r="AK54" s="6"/>
      <c r="AL54" s="6"/>
      <c r="AM54" s="103"/>
      <c r="AN54" s="104"/>
      <c r="AO54" s="103"/>
      <c r="AP54" s="104"/>
      <c r="AQ54" s="103"/>
      <c r="AR54" s="104"/>
      <c r="AS54" s="103"/>
      <c r="AT54" s="104"/>
      <c r="AU54" s="10"/>
      <c r="AV54" s="10"/>
      <c r="AW54" s="10"/>
      <c r="AX54" s="10"/>
      <c r="AY54" s="25"/>
      <c r="AZ54" s="26"/>
      <c r="BA54" s="213"/>
      <c r="BB54" s="54"/>
      <c r="BC54" s="55"/>
      <c r="BD54" s="10"/>
      <c r="BE54" s="10"/>
      <c r="BF54" s="10"/>
      <c r="BG54" s="10"/>
      <c r="BH54" s="10"/>
      <c r="BI54" s="5"/>
      <c r="BJ54" s="54"/>
      <c r="BK54" s="55"/>
      <c r="BL54" s="10"/>
      <c r="BM54" s="10"/>
      <c r="BN54" s="10"/>
      <c r="BO54" s="10"/>
      <c r="BP54" s="10"/>
      <c r="BQ54" s="5"/>
      <c r="BR54" s="7"/>
      <c r="BS54" s="10"/>
      <c r="BT54" s="10"/>
      <c r="BU54" s="10"/>
      <c r="BV54" s="10"/>
      <c r="BW54" s="10"/>
      <c r="BX54" s="10"/>
      <c r="BY54" s="5"/>
    </row>
    <row r="55" spans="1:77" ht="13.95" customHeight="1" thickBot="1" x14ac:dyDescent="0.35">
      <c r="A55" s="10"/>
      <c r="B55" s="122"/>
      <c r="C55" s="123"/>
      <c r="D55" s="124"/>
      <c r="E55" s="10"/>
      <c r="F55" s="10"/>
      <c r="G55" s="10"/>
      <c r="H55" s="33"/>
      <c r="I55" s="34"/>
      <c r="J55" s="34"/>
      <c r="K55" s="34"/>
      <c r="L55" s="34"/>
      <c r="M55" s="34"/>
      <c r="N55" s="34"/>
      <c r="O55" s="35"/>
      <c r="P55" s="10"/>
      <c r="Q55" s="10"/>
      <c r="R55" s="10"/>
      <c r="S55" s="10"/>
      <c r="T55" s="25"/>
      <c r="U55" s="26"/>
      <c r="V55" s="10"/>
      <c r="W55" s="10"/>
      <c r="X55" s="10"/>
      <c r="Y55" s="10"/>
      <c r="Z55" s="112"/>
      <c r="AA55" s="105"/>
      <c r="AB55" s="106"/>
      <c r="AC55" s="105"/>
      <c r="AD55" s="106"/>
      <c r="AE55" s="105"/>
      <c r="AF55" s="106"/>
      <c r="AG55" s="105"/>
      <c r="AH55" s="106"/>
      <c r="AI55" s="105"/>
      <c r="AJ55" s="106"/>
      <c r="AK55" s="6"/>
      <c r="AL55" s="6"/>
      <c r="AM55" s="105"/>
      <c r="AN55" s="106"/>
      <c r="AO55" s="105"/>
      <c r="AP55" s="106"/>
      <c r="AQ55" s="105"/>
      <c r="AR55" s="106"/>
      <c r="AS55" s="105"/>
      <c r="AT55" s="106"/>
      <c r="AU55" s="11"/>
      <c r="AV55" s="11"/>
      <c r="AW55" s="11"/>
      <c r="AX55" s="11"/>
      <c r="AY55" s="25"/>
      <c r="AZ55" s="26"/>
      <c r="BA55" s="196"/>
      <c r="BB55" s="56"/>
      <c r="BC55" s="57"/>
      <c r="BD55" s="10"/>
      <c r="BE55" s="10"/>
      <c r="BF55" s="10"/>
      <c r="BG55" s="10"/>
      <c r="BH55" s="10"/>
      <c r="BI55" s="5"/>
      <c r="BJ55" s="56"/>
      <c r="BK55" s="57"/>
      <c r="BL55" s="10"/>
      <c r="BM55" s="10"/>
      <c r="BN55" s="10"/>
      <c r="BO55" s="10"/>
      <c r="BP55" s="10"/>
      <c r="BQ55" s="5"/>
      <c r="BR55" s="7"/>
      <c r="BS55" s="10"/>
      <c r="BT55" s="10"/>
      <c r="BU55" s="10"/>
      <c r="BV55" s="10"/>
      <c r="BW55" s="10"/>
      <c r="BX55" s="10"/>
      <c r="BY55" s="5"/>
    </row>
    <row r="56" spans="1:77" ht="14.4" customHeight="1" x14ac:dyDescent="0.3">
      <c r="A56" s="10"/>
      <c r="B56" s="122"/>
      <c r="C56" s="123"/>
      <c r="D56" s="124"/>
      <c r="E56" s="10"/>
      <c r="F56" s="10"/>
      <c r="G56" s="10"/>
      <c r="H56" s="33"/>
      <c r="I56" s="34"/>
      <c r="J56" s="34"/>
      <c r="K56" s="34"/>
      <c r="L56" s="34"/>
      <c r="M56" s="34"/>
      <c r="N56" s="34"/>
      <c r="O56" s="35"/>
      <c r="P56" s="10"/>
      <c r="Q56" s="10"/>
      <c r="R56" s="10"/>
      <c r="S56" s="10"/>
      <c r="T56" s="25"/>
      <c r="U56" s="26"/>
      <c r="V56" s="10"/>
      <c r="W56" s="10"/>
      <c r="X56" s="10"/>
      <c r="Y56" s="10"/>
      <c r="Z56" s="199" t="s">
        <v>24</v>
      </c>
      <c r="AA56" s="250" t="s">
        <v>108</v>
      </c>
      <c r="AB56" s="251"/>
      <c r="AC56" s="251"/>
      <c r="AD56" s="251"/>
      <c r="AE56" s="251"/>
      <c r="AF56" s="251"/>
      <c r="AG56" s="251"/>
      <c r="AH56" s="251"/>
      <c r="AI56" s="251"/>
      <c r="AJ56" s="251"/>
      <c r="AK56" s="251"/>
      <c r="AL56" s="251"/>
      <c r="AM56" s="22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25"/>
      <c r="AZ56" s="26"/>
      <c r="BA56" s="195" t="s">
        <v>30</v>
      </c>
      <c r="BB56" s="10"/>
      <c r="BC56" s="10"/>
      <c r="BD56" s="10"/>
      <c r="BE56" s="10"/>
      <c r="BF56" s="10"/>
      <c r="BG56" s="10"/>
      <c r="BH56" s="10"/>
      <c r="BI56" s="5"/>
      <c r="BJ56" s="52" t="s">
        <v>73</v>
      </c>
      <c r="BK56" s="53"/>
      <c r="BL56" s="70" t="s">
        <v>74</v>
      </c>
      <c r="BM56" s="71"/>
      <c r="BN56" s="10"/>
      <c r="BO56" s="10"/>
      <c r="BP56" s="10"/>
      <c r="BQ56" s="5"/>
      <c r="BR56" s="7"/>
      <c r="BS56" s="10"/>
      <c r="BT56" s="10"/>
      <c r="BU56" s="10"/>
      <c r="BV56" s="10"/>
      <c r="BW56" s="10"/>
      <c r="BX56" s="10"/>
      <c r="BY56" s="5"/>
    </row>
    <row r="57" spans="1:77" ht="15" thickBot="1" x14ac:dyDescent="0.35">
      <c r="A57" s="10"/>
      <c r="B57" s="122"/>
      <c r="C57" s="123"/>
      <c r="D57" s="124"/>
      <c r="E57" s="10"/>
      <c r="F57" s="10"/>
      <c r="G57" s="10"/>
      <c r="H57" s="36"/>
      <c r="I57" s="37"/>
      <c r="J57" s="37"/>
      <c r="K57" s="37"/>
      <c r="L57" s="37"/>
      <c r="M57" s="37"/>
      <c r="N57" s="37"/>
      <c r="O57" s="38"/>
      <c r="P57" s="10"/>
      <c r="Q57" s="10"/>
      <c r="R57" s="10"/>
      <c r="S57" s="10"/>
      <c r="T57" s="25"/>
      <c r="U57" s="26"/>
      <c r="V57" s="10"/>
      <c r="W57" s="10"/>
      <c r="X57" s="10"/>
      <c r="Y57" s="10"/>
      <c r="Z57" s="200"/>
      <c r="AA57" s="252"/>
      <c r="AB57" s="253"/>
      <c r="AC57" s="253"/>
      <c r="AD57" s="253"/>
      <c r="AE57" s="253"/>
      <c r="AF57" s="253"/>
      <c r="AG57" s="253"/>
      <c r="AH57" s="253"/>
      <c r="AI57" s="253"/>
      <c r="AJ57" s="253"/>
      <c r="AK57" s="253"/>
      <c r="AL57" s="253"/>
      <c r="AM57" s="7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25"/>
      <c r="AZ57" s="26"/>
      <c r="BA57" s="213"/>
      <c r="BB57" s="10"/>
      <c r="BC57" s="10"/>
      <c r="BD57" s="10"/>
      <c r="BE57" s="10"/>
      <c r="BF57" s="10"/>
      <c r="BG57" s="10"/>
      <c r="BH57" s="10"/>
      <c r="BI57" s="5"/>
      <c r="BJ57" s="54"/>
      <c r="BK57" s="55"/>
      <c r="BL57" s="72"/>
      <c r="BM57" s="73"/>
      <c r="BN57" s="10"/>
      <c r="BO57" s="10"/>
      <c r="BP57" s="10"/>
      <c r="BQ57" s="5"/>
      <c r="BR57" s="7"/>
      <c r="BS57" s="10"/>
      <c r="BT57" s="10"/>
      <c r="BU57" s="10"/>
      <c r="BV57" s="10"/>
      <c r="BW57" s="10"/>
      <c r="BX57" s="10"/>
      <c r="BY57" s="5"/>
    </row>
    <row r="58" spans="1:77" ht="13.95" customHeight="1" x14ac:dyDescent="0.3">
      <c r="A58" s="10"/>
      <c r="B58" s="122"/>
      <c r="C58" s="123"/>
      <c r="D58" s="124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25"/>
      <c r="U58" s="26"/>
      <c r="V58" s="10"/>
      <c r="W58" s="10"/>
      <c r="X58" s="10"/>
      <c r="Y58" s="10"/>
      <c r="Z58" s="110" t="s">
        <v>28</v>
      </c>
      <c r="AA58" s="101" t="s">
        <v>46</v>
      </c>
      <c r="AB58" s="102"/>
      <c r="AC58" s="101" t="s">
        <v>25</v>
      </c>
      <c r="AD58" s="102"/>
      <c r="AE58" s="101" t="s">
        <v>82</v>
      </c>
      <c r="AF58" s="102"/>
      <c r="AG58" s="101" t="s">
        <v>78</v>
      </c>
      <c r="AH58" s="102"/>
      <c r="AI58" s="6"/>
      <c r="AJ58" s="6"/>
      <c r="AK58" s="6"/>
      <c r="AL58" s="6"/>
      <c r="AM58" s="7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25"/>
      <c r="AZ58" s="26"/>
      <c r="BA58" s="213"/>
      <c r="BB58" s="10"/>
      <c r="BC58" s="10"/>
      <c r="BD58" s="10"/>
      <c r="BE58" s="10"/>
      <c r="BF58" s="10"/>
      <c r="BG58" s="10"/>
      <c r="BH58" s="10"/>
      <c r="BI58" s="5"/>
      <c r="BJ58" s="54"/>
      <c r="BK58" s="55"/>
      <c r="BL58" s="72"/>
      <c r="BM58" s="73"/>
      <c r="BN58" s="10"/>
      <c r="BO58" s="10"/>
      <c r="BP58" s="10"/>
      <c r="BQ58" s="5"/>
      <c r="BR58" s="7"/>
      <c r="BS58" s="10"/>
      <c r="BT58" s="10"/>
      <c r="BU58" s="10"/>
      <c r="BV58" s="10"/>
      <c r="BW58" s="10"/>
      <c r="BX58" s="10"/>
      <c r="BY58" s="5"/>
    </row>
    <row r="59" spans="1:77" ht="15" customHeight="1" thickBot="1" x14ac:dyDescent="0.35">
      <c r="A59" s="10"/>
      <c r="B59" s="122"/>
      <c r="C59" s="123"/>
      <c r="D59" s="124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25"/>
      <c r="U59" s="26"/>
      <c r="V59" s="10"/>
      <c r="W59" s="10"/>
      <c r="X59" s="10"/>
      <c r="Y59" s="10"/>
      <c r="Z59" s="111"/>
      <c r="AA59" s="103"/>
      <c r="AB59" s="104"/>
      <c r="AC59" s="103"/>
      <c r="AD59" s="104"/>
      <c r="AE59" s="103"/>
      <c r="AF59" s="104"/>
      <c r="AG59" s="103"/>
      <c r="AH59" s="104"/>
      <c r="AI59" s="6"/>
      <c r="AJ59" s="6"/>
      <c r="AK59" s="6"/>
      <c r="AL59" s="6"/>
      <c r="AM59" s="7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25"/>
      <c r="AZ59" s="26"/>
      <c r="BA59" s="196"/>
      <c r="BB59" s="10"/>
      <c r="BC59" s="10"/>
      <c r="BD59" s="10"/>
      <c r="BE59" s="10"/>
      <c r="BF59" s="10"/>
      <c r="BG59" s="10"/>
      <c r="BH59" s="10"/>
      <c r="BI59" s="5"/>
      <c r="BJ59" s="56"/>
      <c r="BK59" s="57"/>
      <c r="BL59" s="74"/>
      <c r="BM59" s="75"/>
      <c r="BN59" s="10"/>
      <c r="BO59" s="10"/>
      <c r="BP59" s="10"/>
      <c r="BQ59" s="5"/>
      <c r="BR59" s="7"/>
      <c r="BS59" s="10"/>
      <c r="BT59" s="10"/>
      <c r="BU59" s="10"/>
      <c r="BV59" s="10"/>
      <c r="BW59" s="10"/>
      <c r="BX59" s="10"/>
      <c r="BY59" s="5"/>
    </row>
    <row r="60" spans="1:77" x14ac:dyDescent="0.3">
      <c r="A60" s="10"/>
      <c r="B60" s="122"/>
      <c r="C60" s="123"/>
      <c r="D60" s="124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25"/>
      <c r="U60" s="26"/>
      <c r="V60" s="10"/>
      <c r="W60" s="10"/>
      <c r="X60" s="10"/>
      <c r="Y60" s="10"/>
      <c r="Z60" s="111"/>
      <c r="AA60" s="103"/>
      <c r="AB60" s="104"/>
      <c r="AC60" s="103"/>
      <c r="AD60" s="104"/>
      <c r="AE60" s="103"/>
      <c r="AF60" s="104"/>
      <c r="AG60" s="103"/>
      <c r="AH60" s="104"/>
      <c r="AI60" s="6"/>
      <c r="AJ60" s="6"/>
      <c r="AK60" s="6"/>
      <c r="AL60" s="6"/>
      <c r="AM60" s="7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25"/>
      <c r="AZ60" s="26"/>
      <c r="BA60" s="195" t="s">
        <v>31</v>
      </c>
      <c r="BB60" s="52" t="s">
        <v>191</v>
      </c>
      <c r="BC60" s="53"/>
      <c r="BD60" s="52" t="s">
        <v>192</v>
      </c>
      <c r="BE60" s="53"/>
      <c r="BF60" s="10"/>
      <c r="BG60" s="10"/>
      <c r="BH60" s="10"/>
      <c r="BI60" s="5"/>
      <c r="BJ60" s="7"/>
      <c r="BK60" s="10"/>
      <c r="BL60" s="10"/>
      <c r="BM60" s="10"/>
      <c r="BN60" s="10"/>
      <c r="BO60" s="10"/>
      <c r="BP60" s="10"/>
      <c r="BQ60" s="5"/>
      <c r="BR60" s="7"/>
      <c r="BS60" s="10"/>
      <c r="BT60" s="10"/>
      <c r="BU60" s="10"/>
      <c r="BV60" s="10"/>
      <c r="BW60" s="10"/>
      <c r="BX60" s="10"/>
      <c r="BY60" s="5"/>
    </row>
    <row r="61" spans="1:77" ht="15" thickBot="1" x14ac:dyDescent="0.35">
      <c r="A61" s="10"/>
      <c r="B61" s="122"/>
      <c r="C61" s="123"/>
      <c r="D61" s="124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25"/>
      <c r="U61" s="26"/>
      <c r="V61" s="10"/>
      <c r="W61" s="10"/>
      <c r="X61" s="10"/>
      <c r="Y61" s="10"/>
      <c r="Z61" s="112"/>
      <c r="AA61" s="105"/>
      <c r="AB61" s="106"/>
      <c r="AC61" s="105"/>
      <c r="AD61" s="106"/>
      <c r="AE61" s="105"/>
      <c r="AF61" s="106"/>
      <c r="AG61" s="105"/>
      <c r="AH61" s="106"/>
      <c r="AI61" s="6"/>
      <c r="AJ61" s="6"/>
      <c r="AK61" s="6"/>
      <c r="AL61" s="6"/>
      <c r="AM61" s="7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25"/>
      <c r="AZ61" s="26"/>
      <c r="BA61" s="213"/>
      <c r="BB61" s="54"/>
      <c r="BC61" s="55"/>
      <c r="BD61" s="54"/>
      <c r="BE61" s="55"/>
      <c r="BF61" s="10"/>
      <c r="BG61" s="10"/>
      <c r="BH61" s="10"/>
      <c r="BI61" s="5"/>
      <c r="BJ61" s="7"/>
      <c r="BK61" s="10"/>
      <c r="BL61" s="10"/>
      <c r="BM61" s="10"/>
      <c r="BN61" s="10"/>
      <c r="BO61" s="10"/>
      <c r="BP61" s="10"/>
      <c r="BQ61" s="5"/>
      <c r="BR61" s="7"/>
      <c r="BS61" s="10"/>
      <c r="BT61" s="10"/>
      <c r="BU61" s="10"/>
      <c r="BV61" s="10"/>
      <c r="BW61" s="10"/>
      <c r="BX61" s="10"/>
      <c r="BY61" s="5"/>
    </row>
    <row r="62" spans="1:77" ht="15" customHeight="1" thickBot="1" x14ac:dyDescent="0.35">
      <c r="A62" s="10"/>
      <c r="B62" s="125"/>
      <c r="C62" s="126"/>
      <c r="D62" s="127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25"/>
      <c r="U62" s="26"/>
      <c r="V62" s="10"/>
      <c r="W62" s="10"/>
      <c r="X62" s="10"/>
      <c r="Y62" s="10"/>
      <c r="Z62" s="110" t="s">
        <v>29</v>
      </c>
      <c r="AA62" s="101" t="s">
        <v>84</v>
      </c>
      <c r="AB62" s="102"/>
      <c r="AC62" s="101" t="s">
        <v>98</v>
      </c>
      <c r="AD62" s="102"/>
      <c r="AE62" s="101" t="s">
        <v>85</v>
      </c>
      <c r="AF62" s="102"/>
      <c r="AG62" s="101" t="s">
        <v>112</v>
      </c>
      <c r="AH62" s="102"/>
      <c r="AI62" s="101" t="s">
        <v>170</v>
      </c>
      <c r="AJ62" s="102"/>
      <c r="AK62" s="6"/>
      <c r="AL62" s="6"/>
      <c r="AM62" s="7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25"/>
      <c r="AZ62" s="26"/>
      <c r="BA62" s="213"/>
      <c r="BB62" s="54"/>
      <c r="BC62" s="55"/>
      <c r="BD62" s="54"/>
      <c r="BE62" s="55"/>
      <c r="BF62" s="10"/>
      <c r="BG62" s="10"/>
      <c r="BH62" s="10"/>
      <c r="BI62" s="5"/>
      <c r="BJ62" s="7"/>
      <c r="BK62" s="10"/>
      <c r="BL62" s="10"/>
      <c r="BM62" s="10"/>
      <c r="BN62" s="10"/>
      <c r="BO62" s="10"/>
      <c r="BP62" s="10"/>
      <c r="BQ62" s="5"/>
      <c r="BR62" s="7"/>
      <c r="BS62" s="10"/>
      <c r="BT62" s="10"/>
      <c r="BU62" s="10"/>
      <c r="BV62" s="10"/>
      <c r="BW62" s="10"/>
      <c r="BX62" s="10"/>
      <c r="BY62" s="5"/>
    </row>
    <row r="63" spans="1:77" ht="14.4" customHeight="1" thickTop="1" thickBot="1" x14ac:dyDescent="0.3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25"/>
      <c r="U63" s="26"/>
      <c r="V63" s="10"/>
      <c r="W63" s="10"/>
      <c r="X63" s="10"/>
      <c r="Y63" s="10"/>
      <c r="Z63" s="111"/>
      <c r="AA63" s="103"/>
      <c r="AB63" s="104"/>
      <c r="AC63" s="103"/>
      <c r="AD63" s="104"/>
      <c r="AE63" s="103"/>
      <c r="AF63" s="104"/>
      <c r="AG63" s="103"/>
      <c r="AH63" s="104"/>
      <c r="AI63" s="103"/>
      <c r="AJ63" s="104"/>
      <c r="AK63" s="6"/>
      <c r="AL63" s="6"/>
      <c r="AM63" s="7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25"/>
      <c r="AZ63" s="26"/>
      <c r="BA63" s="196"/>
      <c r="BB63" s="56"/>
      <c r="BC63" s="57"/>
      <c r="BD63" s="56"/>
      <c r="BE63" s="57"/>
      <c r="BF63" s="10"/>
      <c r="BG63" s="10"/>
      <c r="BH63" s="10"/>
      <c r="BI63" s="5"/>
      <c r="BJ63" s="7"/>
      <c r="BK63" s="10"/>
      <c r="BL63" s="10"/>
      <c r="BM63" s="10"/>
      <c r="BN63" s="10"/>
      <c r="BO63" s="10"/>
      <c r="BP63" s="10"/>
      <c r="BQ63" s="5"/>
      <c r="BR63" s="7"/>
      <c r="BS63" s="10"/>
      <c r="BT63" s="10"/>
      <c r="BU63" s="10"/>
      <c r="BV63" s="10"/>
      <c r="BW63" s="10"/>
      <c r="BX63" s="10"/>
      <c r="BY63" s="5"/>
    </row>
    <row r="64" spans="1:77" ht="14.4" customHeight="1" x14ac:dyDescent="0.3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25"/>
      <c r="U64" s="26"/>
      <c r="V64" s="10"/>
      <c r="W64" s="10"/>
      <c r="X64" s="10"/>
      <c r="Y64" s="10"/>
      <c r="Z64" s="111"/>
      <c r="AA64" s="103"/>
      <c r="AB64" s="104"/>
      <c r="AC64" s="103"/>
      <c r="AD64" s="104"/>
      <c r="AE64" s="103"/>
      <c r="AF64" s="104"/>
      <c r="AG64" s="103"/>
      <c r="AH64" s="104"/>
      <c r="AI64" s="103"/>
      <c r="AJ64" s="104"/>
      <c r="AK64" s="6"/>
      <c r="AL64" s="6"/>
      <c r="AM64" s="7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25"/>
      <c r="AZ64" s="26"/>
      <c r="BA64" s="195" t="s">
        <v>139</v>
      </c>
      <c r="BB64" s="7"/>
      <c r="BC64" s="10"/>
      <c r="BD64" s="10"/>
      <c r="BE64" s="10"/>
      <c r="BF64" s="10"/>
      <c r="BG64" s="10"/>
      <c r="BH64" s="10"/>
      <c r="BI64" s="5"/>
      <c r="BJ64" s="7"/>
      <c r="BK64" s="10"/>
      <c r="BL64" s="10"/>
      <c r="BM64" s="10"/>
      <c r="BN64" s="10"/>
      <c r="BO64" s="10"/>
      <c r="BP64" s="10"/>
      <c r="BQ64" s="5"/>
      <c r="BR64" s="128" t="s">
        <v>199</v>
      </c>
      <c r="BS64" s="129"/>
      <c r="BT64" s="129"/>
      <c r="BU64" s="130"/>
      <c r="BV64" s="52" t="s">
        <v>200</v>
      </c>
      <c r="BW64" s="97"/>
      <c r="BX64" s="97"/>
      <c r="BY64" s="53"/>
    </row>
    <row r="65" spans="1:77" ht="15" thickBot="1" x14ac:dyDescent="0.3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25"/>
      <c r="U65" s="26"/>
      <c r="V65" s="10"/>
      <c r="W65" s="10"/>
      <c r="X65" s="10"/>
      <c r="Y65" s="10"/>
      <c r="Z65" s="112"/>
      <c r="AA65" s="105"/>
      <c r="AB65" s="106"/>
      <c r="AC65" s="105"/>
      <c r="AD65" s="106"/>
      <c r="AE65" s="105"/>
      <c r="AF65" s="106"/>
      <c r="AG65" s="105"/>
      <c r="AH65" s="106"/>
      <c r="AI65" s="105"/>
      <c r="AJ65" s="106"/>
      <c r="AK65" s="6"/>
      <c r="AL65" s="6"/>
      <c r="AM65" s="7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25"/>
      <c r="AZ65" s="26"/>
      <c r="BA65" s="196"/>
      <c r="BB65" s="7"/>
      <c r="BC65" s="10"/>
      <c r="BD65" s="10"/>
      <c r="BE65" s="10"/>
      <c r="BF65" s="10"/>
      <c r="BG65" s="10"/>
      <c r="BH65" s="10"/>
      <c r="BI65" s="5"/>
      <c r="BJ65" s="7"/>
      <c r="BK65" s="10"/>
      <c r="BL65" s="10"/>
      <c r="BM65" s="10"/>
      <c r="BN65" s="10"/>
      <c r="BO65" s="10"/>
      <c r="BP65" s="10"/>
      <c r="BQ65" s="5"/>
      <c r="BR65" s="131"/>
      <c r="BS65" s="132"/>
      <c r="BT65" s="132"/>
      <c r="BU65" s="133"/>
      <c r="BV65" s="56"/>
      <c r="BW65" s="98"/>
      <c r="BX65" s="98"/>
      <c r="BY65" s="57"/>
    </row>
    <row r="66" spans="1:77" ht="14.4" customHeight="1" x14ac:dyDescent="0.3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25"/>
      <c r="U66" s="26"/>
      <c r="V66" s="10"/>
      <c r="W66" s="10"/>
      <c r="X66" s="10"/>
      <c r="Y66" s="10"/>
      <c r="Z66" s="110" t="s">
        <v>30</v>
      </c>
      <c r="AA66" s="101" t="s">
        <v>110</v>
      </c>
      <c r="AB66" s="102"/>
      <c r="AC66" s="101" t="s">
        <v>43</v>
      </c>
      <c r="AD66" s="102"/>
      <c r="AE66" s="101" t="s">
        <v>40</v>
      </c>
      <c r="AF66" s="102"/>
      <c r="AG66" s="101" t="s">
        <v>113</v>
      </c>
      <c r="AH66" s="102"/>
      <c r="AI66" s="6"/>
      <c r="AJ66" s="6"/>
      <c r="AK66" s="6"/>
      <c r="AL66" s="6"/>
      <c r="AM66" s="7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25"/>
      <c r="AZ66" s="26"/>
      <c r="BA66" s="195" t="s">
        <v>140</v>
      </c>
      <c r="BB66" s="7"/>
      <c r="BC66" s="10"/>
      <c r="BD66" s="10"/>
      <c r="BE66" s="10"/>
      <c r="BF66" s="10"/>
      <c r="BG66" s="10"/>
      <c r="BH66" s="10"/>
      <c r="BI66" s="5"/>
      <c r="BJ66" s="7"/>
      <c r="BK66" s="10"/>
      <c r="BL66" s="10"/>
      <c r="BM66" s="10"/>
      <c r="BN66" s="10"/>
      <c r="BO66" s="10"/>
      <c r="BP66" s="10"/>
      <c r="BQ66" s="5"/>
      <c r="BR66" s="52" t="s">
        <v>198</v>
      </c>
      <c r="BS66" s="97"/>
      <c r="BT66" s="97"/>
      <c r="BU66" s="53"/>
      <c r="BV66" s="70" t="s">
        <v>201</v>
      </c>
      <c r="BW66" s="99"/>
      <c r="BX66" s="99"/>
      <c r="BY66" s="71"/>
    </row>
    <row r="67" spans="1:77" ht="15" thickBot="1" x14ac:dyDescent="0.3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25"/>
      <c r="U67" s="26"/>
      <c r="V67" s="10"/>
      <c r="W67" s="10"/>
      <c r="X67" s="10"/>
      <c r="Y67" s="10"/>
      <c r="Z67" s="111"/>
      <c r="AA67" s="103"/>
      <c r="AB67" s="104"/>
      <c r="AC67" s="103"/>
      <c r="AD67" s="104"/>
      <c r="AE67" s="103"/>
      <c r="AF67" s="104"/>
      <c r="AG67" s="103"/>
      <c r="AH67" s="104"/>
      <c r="AI67" s="6"/>
      <c r="AJ67" s="6"/>
      <c r="AK67" s="6"/>
      <c r="AL67" s="6"/>
      <c r="AM67" s="7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25"/>
      <c r="AZ67" s="26"/>
      <c r="BA67" s="196"/>
      <c r="BB67" s="8"/>
      <c r="BC67" s="11"/>
      <c r="BD67" s="11"/>
      <c r="BE67" s="11"/>
      <c r="BF67" s="11"/>
      <c r="BG67" s="11"/>
      <c r="BH67" s="11"/>
      <c r="BI67" s="4"/>
      <c r="BJ67" s="8"/>
      <c r="BK67" s="11"/>
      <c r="BL67" s="11"/>
      <c r="BM67" s="11"/>
      <c r="BN67" s="11"/>
      <c r="BO67" s="11"/>
      <c r="BP67" s="11"/>
      <c r="BQ67" s="4"/>
      <c r="BR67" s="56"/>
      <c r="BS67" s="98"/>
      <c r="BT67" s="98"/>
      <c r="BU67" s="57"/>
      <c r="BV67" s="74"/>
      <c r="BW67" s="100"/>
      <c r="BX67" s="100"/>
      <c r="BY67" s="75"/>
    </row>
    <row r="68" spans="1:77" ht="14.4" customHeight="1" x14ac:dyDescent="0.3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25"/>
      <c r="U68" s="26"/>
      <c r="V68" s="10"/>
      <c r="W68" s="10"/>
      <c r="X68" s="10"/>
      <c r="Y68" s="10"/>
      <c r="Z68" s="111"/>
      <c r="AA68" s="103"/>
      <c r="AB68" s="104"/>
      <c r="AC68" s="103"/>
      <c r="AD68" s="104"/>
      <c r="AE68" s="103"/>
      <c r="AF68" s="104"/>
      <c r="AG68" s="103"/>
      <c r="AH68" s="104"/>
      <c r="AI68" s="6"/>
      <c r="AJ68" s="6"/>
      <c r="AK68" s="6"/>
      <c r="AL68" s="6"/>
      <c r="AM68" s="7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25"/>
      <c r="AZ68" s="26"/>
      <c r="BA68" s="197" t="s">
        <v>24</v>
      </c>
      <c r="BB68" s="413" t="s">
        <v>202</v>
      </c>
      <c r="BC68" s="414"/>
      <c r="BD68" s="414"/>
      <c r="BE68" s="414"/>
      <c r="BF68" s="414"/>
      <c r="BG68" s="414"/>
      <c r="BH68" s="414"/>
      <c r="BI68" s="415"/>
      <c r="BJ68" s="207" t="s">
        <v>224</v>
      </c>
      <c r="BK68" s="208"/>
      <c r="BL68" s="208"/>
      <c r="BM68" s="208"/>
      <c r="BN68" s="208"/>
      <c r="BO68" s="208"/>
      <c r="BP68" s="208"/>
      <c r="BQ68" s="437"/>
      <c r="BR68" s="439" t="s">
        <v>225</v>
      </c>
      <c r="BS68" s="440"/>
      <c r="BT68" s="440"/>
      <c r="BU68" s="440"/>
      <c r="BV68" s="440"/>
      <c r="BW68" s="440"/>
      <c r="BX68" s="440"/>
      <c r="BY68" s="441"/>
    </row>
    <row r="69" spans="1:77" ht="14.4" customHeight="1" thickBot="1" x14ac:dyDescent="0.3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25"/>
      <c r="U69" s="26"/>
      <c r="V69" s="10"/>
      <c r="W69" s="10"/>
      <c r="X69" s="10"/>
      <c r="Y69" s="10"/>
      <c r="Z69" s="112"/>
      <c r="AA69" s="105"/>
      <c r="AB69" s="106"/>
      <c r="AC69" s="105"/>
      <c r="AD69" s="106"/>
      <c r="AE69" s="105"/>
      <c r="AF69" s="106"/>
      <c r="AG69" s="105"/>
      <c r="AH69" s="106"/>
      <c r="AI69" s="6"/>
      <c r="AJ69" s="6"/>
      <c r="AK69" s="6"/>
      <c r="AL69" s="6"/>
      <c r="AM69" s="7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25"/>
      <c r="AZ69" s="26"/>
      <c r="BA69" s="198"/>
      <c r="BB69" s="416"/>
      <c r="BC69" s="417"/>
      <c r="BD69" s="417"/>
      <c r="BE69" s="417"/>
      <c r="BF69" s="417"/>
      <c r="BG69" s="417"/>
      <c r="BH69" s="417"/>
      <c r="BI69" s="418"/>
      <c r="BJ69" s="209"/>
      <c r="BK69" s="210"/>
      <c r="BL69" s="210"/>
      <c r="BM69" s="210"/>
      <c r="BN69" s="210"/>
      <c r="BO69" s="210"/>
      <c r="BP69" s="210"/>
      <c r="BQ69" s="438"/>
      <c r="BR69" s="442"/>
      <c r="BS69" s="443"/>
      <c r="BT69" s="443"/>
      <c r="BU69" s="443"/>
      <c r="BV69" s="443"/>
      <c r="BW69" s="443"/>
      <c r="BX69" s="443"/>
      <c r="BY69" s="444"/>
    </row>
    <row r="70" spans="1:77" ht="15.75" customHeight="1" x14ac:dyDescent="0.3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25"/>
      <c r="U70" s="26"/>
      <c r="V70" s="10"/>
      <c r="W70" s="10"/>
      <c r="X70" s="10"/>
      <c r="Y70" s="10"/>
      <c r="Z70" s="110" t="s">
        <v>31</v>
      </c>
      <c r="AA70" s="101" t="s">
        <v>109</v>
      </c>
      <c r="AB70" s="102"/>
      <c r="AC70" s="101" t="s">
        <v>111</v>
      </c>
      <c r="AD70" s="102"/>
      <c r="AE70" s="101" t="s">
        <v>114</v>
      </c>
      <c r="AF70" s="102"/>
      <c r="AG70" s="6"/>
      <c r="AH70" s="6"/>
      <c r="AI70" s="6"/>
      <c r="AJ70" s="6"/>
      <c r="AK70" s="6"/>
      <c r="AL70" s="6"/>
      <c r="AM70" s="7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25"/>
      <c r="AZ70" s="26"/>
      <c r="BA70" s="195" t="s">
        <v>28</v>
      </c>
      <c r="BB70" s="52" t="s">
        <v>203</v>
      </c>
      <c r="BC70" s="53"/>
      <c r="BD70" s="10"/>
      <c r="BE70" s="10"/>
      <c r="BF70" s="10"/>
      <c r="BG70" s="10"/>
      <c r="BH70" s="10"/>
      <c r="BI70" s="5"/>
      <c r="BJ70" s="54" t="s">
        <v>46</v>
      </c>
      <c r="BK70" s="55"/>
      <c r="BL70" s="266" t="s">
        <v>179</v>
      </c>
      <c r="BM70" s="55"/>
      <c r="BN70" s="10"/>
      <c r="BO70" s="10"/>
      <c r="BP70" s="10"/>
      <c r="BQ70" s="5"/>
      <c r="BR70" s="52" t="s">
        <v>174</v>
      </c>
      <c r="BS70" s="53"/>
      <c r="BT70" s="10"/>
      <c r="BU70" s="10"/>
      <c r="BV70" s="10"/>
      <c r="BW70" s="10"/>
      <c r="BX70" s="10"/>
      <c r="BY70" s="5"/>
    </row>
    <row r="71" spans="1:77" x14ac:dyDescent="0.3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25"/>
      <c r="U71" s="26"/>
      <c r="V71" s="10"/>
      <c r="W71" s="10"/>
      <c r="X71" s="10"/>
      <c r="Y71" s="10"/>
      <c r="Z71" s="111"/>
      <c r="AA71" s="103"/>
      <c r="AB71" s="104"/>
      <c r="AC71" s="103"/>
      <c r="AD71" s="104"/>
      <c r="AE71" s="103"/>
      <c r="AF71" s="104"/>
      <c r="AG71" s="6"/>
      <c r="AH71" s="6"/>
      <c r="AI71" s="6"/>
      <c r="AJ71" s="6"/>
      <c r="AK71" s="6"/>
      <c r="AL71" s="6"/>
      <c r="AM71" s="7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25"/>
      <c r="AZ71" s="26"/>
      <c r="BA71" s="213"/>
      <c r="BB71" s="54"/>
      <c r="BC71" s="55"/>
      <c r="BD71" s="10"/>
      <c r="BE71" s="10"/>
      <c r="BF71" s="10"/>
      <c r="BG71" s="10"/>
      <c r="BH71" s="10"/>
      <c r="BI71" s="5"/>
      <c r="BJ71" s="54"/>
      <c r="BK71" s="55"/>
      <c r="BL71" s="266"/>
      <c r="BM71" s="55"/>
      <c r="BN71" s="10"/>
      <c r="BO71" s="10"/>
      <c r="BP71" s="10"/>
      <c r="BQ71" s="5"/>
      <c r="BR71" s="54"/>
      <c r="BS71" s="55"/>
      <c r="BT71" s="10"/>
      <c r="BU71" s="10"/>
      <c r="BV71" s="10"/>
      <c r="BW71" s="10"/>
      <c r="BX71" s="10"/>
      <c r="BY71" s="5"/>
    </row>
    <row r="72" spans="1:77" ht="14.4" customHeight="1" x14ac:dyDescent="0.3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25"/>
      <c r="U72" s="26"/>
      <c r="V72" s="10"/>
      <c r="W72" s="10"/>
      <c r="X72" s="10"/>
      <c r="Y72" s="10"/>
      <c r="Z72" s="111"/>
      <c r="AA72" s="103"/>
      <c r="AB72" s="104"/>
      <c r="AC72" s="103"/>
      <c r="AD72" s="104"/>
      <c r="AE72" s="103"/>
      <c r="AF72" s="104"/>
      <c r="AG72" s="6"/>
      <c r="AH72" s="6"/>
      <c r="AI72" s="6"/>
      <c r="AJ72" s="6"/>
      <c r="AK72" s="6"/>
      <c r="AL72" s="6"/>
      <c r="AM72" s="7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25"/>
      <c r="AZ72" s="26"/>
      <c r="BA72" s="213"/>
      <c r="BB72" s="54"/>
      <c r="BC72" s="55"/>
      <c r="BD72" s="10"/>
      <c r="BE72" s="10"/>
      <c r="BF72" s="10"/>
      <c r="BG72" s="10"/>
      <c r="BH72" s="10"/>
      <c r="BI72" s="5"/>
      <c r="BJ72" s="54"/>
      <c r="BK72" s="55"/>
      <c r="BL72" s="266"/>
      <c r="BM72" s="55"/>
      <c r="BN72" s="10"/>
      <c r="BO72" s="10"/>
      <c r="BP72" s="10"/>
      <c r="BQ72" s="5"/>
      <c r="BR72" s="54"/>
      <c r="BS72" s="55"/>
      <c r="BT72" s="10"/>
      <c r="BU72" s="10"/>
      <c r="BV72" s="10"/>
      <c r="BW72" s="10"/>
      <c r="BX72" s="10"/>
      <c r="BY72" s="5"/>
    </row>
    <row r="73" spans="1:77" ht="15" thickBot="1" x14ac:dyDescent="0.3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25"/>
      <c r="U73" s="26"/>
      <c r="V73" s="10"/>
      <c r="W73" s="10"/>
      <c r="X73" s="10"/>
      <c r="Y73" s="10"/>
      <c r="Z73" s="112"/>
      <c r="AA73" s="103"/>
      <c r="AB73" s="104"/>
      <c r="AC73" s="103"/>
      <c r="AD73" s="104"/>
      <c r="AE73" s="103"/>
      <c r="AF73" s="104"/>
      <c r="AG73" s="6"/>
      <c r="AH73" s="6"/>
      <c r="AI73" s="6"/>
      <c r="AJ73" s="6"/>
      <c r="AK73" s="6"/>
      <c r="AL73" s="6"/>
      <c r="AM73" s="7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25"/>
      <c r="AZ73" s="26"/>
      <c r="BA73" s="196"/>
      <c r="BB73" s="56"/>
      <c r="BC73" s="57"/>
      <c r="BD73" s="10"/>
      <c r="BE73" s="10"/>
      <c r="BF73" s="10"/>
      <c r="BG73" s="10"/>
      <c r="BH73" s="10"/>
      <c r="BI73" s="5"/>
      <c r="BJ73" s="56"/>
      <c r="BK73" s="57"/>
      <c r="BL73" s="98"/>
      <c r="BM73" s="57"/>
      <c r="BN73" s="10"/>
      <c r="BO73" s="10"/>
      <c r="BP73" s="10"/>
      <c r="BQ73" s="5"/>
      <c r="BR73" s="56"/>
      <c r="BS73" s="57"/>
      <c r="BT73" s="10"/>
      <c r="BU73" s="10"/>
      <c r="BV73" s="10"/>
      <c r="BW73" s="10"/>
      <c r="BX73" s="10"/>
      <c r="BY73" s="5"/>
    </row>
    <row r="74" spans="1:77" ht="14.4" customHeight="1" x14ac:dyDescent="0.3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25"/>
      <c r="U74" s="26"/>
      <c r="V74" s="10"/>
      <c r="W74" s="10"/>
      <c r="X74" s="10"/>
      <c r="Y74" s="10"/>
      <c r="Z74" s="199" t="s">
        <v>24</v>
      </c>
      <c r="AA74" s="207" t="s">
        <v>165</v>
      </c>
      <c r="AB74" s="208"/>
      <c r="AC74" s="208"/>
      <c r="AD74" s="208"/>
      <c r="AE74" s="208"/>
      <c r="AF74" s="208"/>
      <c r="AG74" s="208"/>
      <c r="AH74" s="208"/>
      <c r="AI74" s="208"/>
      <c r="AJ74" s="208"/>
      <c r="AK74" s="208"/>
      <c r="AL74" s="208"/>
      <c r="AM74" s="208"/>
      <c r="AN74" s="208"/>
      <c r="AO74" s="208"/>
      <c r="AP74" s="208"/>
      <c r="AQ74" s="208"/>
      <c r="AR74" s="208"/>
      <c r="AS74" s="208"/>
      <c r="AT74" s="208"/>
      <c r="AU74" s="208"/>
      <c r="AV74" s="208"/>
      <c r="AW74" s="208"/>
      <c r="AX74" s="208"/>
      <c r="AY74" s="25"/>
      <c r="AZ74" s="26"/>
      <c r="BA74" s="195" t="s">
        <v>29</v>
      </c>
      <c r="BB74" s="52" t="s">
        <v>204</v>
      </c>
      <c r="BC74" s="53"/>
      <c r="BD74" s="10"/>
      <c r="BE74" s="10"/>
      <c r="BF74" s="10"/>
      <c r="BG74" s="10"/>
      <c r="BH74" s="10"/>
      <c r="BI74" s="5"/>
      <c r="BJ74" s="52" t="s">
        <v>90</v>
      </c>
      <c r="BK74" s="53"/>
      <c r="BL74" s="10"/>
      <c r="BM74" s="10"/>
      <c r="BN74" s="10"/>
      <c r="BO74" s="10"/>
      <c r="BP74" s="10"/>
      <c r="BQ74" s="5"/>
      <c r="BR74" s="52" t="s">
        <v>62</v>
      </c>
      <c r="BS74" s="53"/>
      <c r="BT74" s="52" t="s">
        <v>226</v>
      </c>
      <c r="BU74" s="53"/>
      <c r="BV74" s="10"/>
      <c r="BW74" s="10"/>
      <c r="BX74" s="10"/>
      <c r="BY74" s="5"/>
    </row>
    <row r="75" spans="1:77" ht="14.4" customHeight="1" thickBot="1" x14ac:dyDescent="0.3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25"/>
      <c r="U75" s="26"/>
      <c r="V75" s="10"/>
      <c r="W75" s="10"/>
      <c r="X75" s="10"/>
      <c r="Y75" s="10"/>
      <c r="Z75" s="200"/>
      <c r="AA75" s="209"/>
      <c r="AB75" s="210"/>
      <c r="AC75" s="210"/>
      <c r="AD75" s="210"/>
      <c r="AE75" s="210"/>
      <c r="AF75" s="210"/>
      <c r="AG75" s="210"/>
      <c r="AH75" s="210"/>
      <c r="AI75" s="210"/>
      <c r="AJ75" s="210"/>
      <c r="AK75" s="210"/>
      <c r="AL75" s="210"/>
      <c r="AM75" s="210"/>
      <c r="AN75" s="210"/>
      <c r="AO75" s="210"/>
      <c r="AP75" s="210"/>
      <c r="AQ75" s="210"/>
      <c r="AR75" s="210"/>
      <c r="AS75" s="210"/>
      <c r="AT75" s="210"/>
      <c r="AU75" s="210"/>
      <c r="AV75" s="210"/>
      <c r="AW75" s="210"/>
      <c r="AX75" s="210"/>
      <c r="AY75" s="25"/>
      <c r="AZ75" s="26"/>
      <c r="BA75" s="213"/>
      <c r="BB75" s="54"/>
      <c r="BC75" s="55"/>
      <c r="BD75" s="10"/>
      <c r="BE75" s="10"/>
      <c r="BF75" s="10"/>
      <c r="BG75" s="10"/>
      <c r="BH75" s="10"/>
      <c r="BI75" s="5"/>
      <c r="BJ75" s="54"/>
      <c r="BK75" s="55"/>
      <c r="BL75" s="10"/>
      <c r="BM75" s="10"/>
      <c r="BN75" s="10"/>
      <c r="BO75" s="10"/>
      <c r="BP75" s="10"/>
      <c r="BQ75" s="5"/>
      <c r="BR75" s="54"/>
      <c r="BS75" s="55"/>
      <c r="BT75" s="54"/>
      <c r="BU75" s="55"/>
      <c r="BV75" s="10"/>
      <c r="BW75" s="10"/>
      <c r="BX75" s="10"/>
      <c r="BY75" s="5"/>
    </row>
    <row r="76" spans="1:77" ht="14.4" customHeight="1" x14ac:dyDescent="0.3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25"/>
      <c r="U76" s="26"/>
      <c r="V76" s="10"/>
      <c r="W76" s="10"/>
      <c r="X76" s="10"/>
      <c r="Y76" s="10"/>
      <c r="Z76" s="180" t="s">
        <v>28</v>
      </c>
      <c r="AA76" s="108" t="s">
        <v>164</v>
      </c>
      <c r="AB76" s="104"/>
      <c r="AC76" s="103" t="s">
        <v>46</v>
      </c>
      <c r="AD76" s="104"/>
      <c r="AE76" s="103" t="s">
        <v>168</v>
      </c>
      <c r="AF76" s="104"/>
      <c r="AG76" s="101" t="s">
        <v>103</v>
      </c>
      <c r="AH76" s="102"/>
      <c r="AI76" s="101" t="s">
        <v>97</v>
      </c>
      <c r="AJ76" s="102"/>
      <c r="AK76" s="101" t="s">
        <v>173</v>
      </c>
      <c r="AL76" s="102"/>
      <c r="AM76" s="101" t="s">
        <v>174</v>
      </c>
      <c r="AN76" s="102"/>
      <c r="AO76" s="103" t="s">
        <v>45</v>
      </c>
      <c r="AP76" s="104"/>
      <c r="AQ76" s="103" t="s">
        <v>176</v>
      </c>
      <c r="AR76" s="104"/>
      <c r="AS76" s="103" t="s">
        <v>178</v>
      </c>
      <c r="AT76" s="104"/>
      <c r="AU76" s="101" t="s">
        <v>25</v>
      </c>
      <c r="AV76" s="102"/>
      <c r="AW76" s="101" t="s">
        <v>82</v>
      </c>
      <c r="AX76" s="107"/>
      <c r="AY76" s="25"/>
      <c r="AZ76" s="26"/>
      <c r="BA76" s="213"/>
      <c r="BB76" s="54"/>
      <c r="BC76" s="55"/>
      <c r="BD76" s="10"/>
      <c r="BE76" s="10"/>
      <c r="BF76" s="10"/>
      <c r="BG76" s="10"/>
      <c r="BH76" s="10"/>
      <c r="BI76" s="5"/>
      <c r="BJ76" s="54"/>
      <c r="BK76" s="55"/>
      <c r="BL76" s="10"/>
      <c r="BM76" s="10"/>
      <c r="BN76" s="10"/>
      <c r="BO76" s="10"/>
      <c r="BP76" s="10"/>
      <c r="BQ76" s="5"/>
      <c r="BR76" s="54"/>
      <c r="BS76" s="55"/>
      <c r="BT76" s="54"/>
      <c r="BU76" s="55"/>
      <c r="BV76" s="10"/>
      <c r="BW76" s="10"/>
      <c r="BX76" s="10"/>
      <c r="BY76" s="5"/>
    </row>
    <row r="77" spans="1:77" ht="14.4" customHeight="1" thickBot="1" x14ac:dyDescent="0.3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25"/>
      <c r="U77" s="26"/>
      <c r="V77" s="10"/>
      <c r="W77" s="10"/>
      <c r="X77" s="10"/>
      <c r="Y77" s="10"/>
      <c r="Z77" s="181"/>
      <c r="AA77" s="108"/>
      <c r="AB77" s="104"/>
      <c r="AC77" s="103"/>
      <c r="AD77" s="104"/>
      <c r="AE77" s="103"/>
      <c r="AF77" s="104"/>
      <c r="AG77" s="103"/>
      <c r="AH77" s="104"/>
      <c r="AI77" s="103"/>
      <c r="AJ77" s="104"/>
      <c r="AK77" s="103"/>
      <c r="AL77" s="104"/>
      <c r="AM77" s="103"/>
      <c r="AN77" s="104"/>
      <c r="AO77" s="103"/>
      <c r="AP77" s="104"/>
      <c r="AQ77" s="103"/>
      <c r="AR77" s="104"/>
      <c r="AS77" s="103"/>
      <c r="AT77" s="104"/>
      <c r="AU77" s="103"/>
      <c r="AV77" s="104"/>
      <c r="AW77" s="103"/>
      <c r="AX77" s="108"/>
      <c r="AY77" s="25"/>
      <c r="AZ77" s="26"/>
      <c r="BA77" s="196"/>
      <c r="BB77" s="56"/>
      <c r="BC77" s="57"/>
      <c r="BD77" s="10"/>
      <c r="BE77" s="10"/>
      <c r="BF77" s="10"/>
      <c r="BG77" s="10"/>
      <c r="BH77" s="10"/>
      <c r="BI77" s="5"/>
      <c r="BJ77" s="56"/>
      <c r="BK77" s="57"/>
      <c r="BL77" s="10"/>
      <c r="BM77" s="10"/>
      <c r="BN77" s="10"/>
      <c r="BO77" s="10"/>
      <c r="BP77" s="10"/>
      <c r="BQ77" s="5"/>
      <c r="BR77" s="56"/>
      <c r="BS77" s="57"/>
      <c r="BT77" s="56"/>
      <c r="BU77" s="57"/>
      <c r="BV77" s="10"/>
      <c r="BW77" s="10"/>
      <c r="BX77" s="10"/>
      <c r="BY77" s="5"/>
    </row>
    <row r="78" spans="1:77" x14ac:dyDescent="0.3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25"/>
      <c r="U78" s="26"/>
      <c r="V78" s="10"/>
      <c r="W78" s="10"/>
      <c r="X78" s="10"/>
      <c r="Y78" s="10"/>
      <c r="Z78" s="181"/>
      <c r="AA78" s="108"/>
      <c r="AB78" s="104"/>
      <c r="AC78" s="103"/>
      <c r="AD78" s="104"/>
      <c r="AE78" s="103"/>
      <c r="AF78" s="104"/>
      <c r="AG78" s="103"/>
      <c r="AH78" s="104"/>
      <c r="AI78" s="103"/>
      <c r="AJ78" s="104"/>
      <c r="AK78" s="103"/>
      <c r="AL78" s="104"/>
      <c r="AM78" s="103"/>
      <c r="AN78" s="104"/>
      <c r="AO78" s="103"/>
      <c r="AP78" s="104"/>
      <c r="AQ78" s="103"/>
      <c r="AR78" s="104"/>
      <c r="AS78" s="103"/>
      <c r="AT78" s="104"/>
      <c r="AU78" s="103"/>
      <c r="AV78" s="104"/>
      <c r="AW78" s="103"/>
      <c r="AX78" s="108"/>
      <c r="AY78" s="25"/>
      <c r="AZ78" s="26"/>
      <c r="BA78" s="195" t="s">
        <v>30</v>
      </c>
      <c r="BB78" s="52" t="s">
        <v>205</v>
      </c>
      <c r="BC78" s="53"/>
      <c r="BD78" s="10"/>
      <c r="BE78" s="10"/>
      <c r="BF78" s="10"/>
      <c r="BG78" s="10"/>
      <c r="BH78" s="10"/>
      <c r="BI78" s="5"/>
      <c r="BJ78" s="52" t="s">
        <v>205</v>
      </c>
      <c r="BK78" s="53"/>
      <c r="BL78" s="10"/>
      <c r="BM78" s="10"/>
      <c r="BN78" s="10"/>
      <c r="BO78" s="10"/>
      <c r="BP78" s="10"/>
      <c r="BQ78" s="5"/>
      <c r="BR78" s="52" t="s">
        <v>227</v>
      </c>
      <c r="BS78" s="53"/>
      <c r="BT78" s="10"/>
      <c r="BU78" s="10"/>
      <c r="BV78" s="10"/>
      <c r="BW78" s="10"/>
      <c r="BX78" s="10"/>
      <c r="BY78" s="5"/>
    </row>
    <row r="79" spans="1:77" ht="15" customHeight="1" thickBot="1" x14ac:dyDescent="0.3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25"/>
      <c r="U79" s="26"/>
      <c r="V79" s="10"/>
      <c r="W79" s="10"/>
      <c r="X79" s="10"/>
      <c r="Y79" s="10"/>
      <c r="Z79" s="181"/>
      <c r="AA79" s="109"/>
      <c r="AB79" s="106"/>
      <c r="AC79" s="105"/>
      <c r="AD79" s="106"/>
      <c r="AE79" s="105"/>
      <c r="AF79" s="106"/>
      <c r="AG79" s="105"/>
      <c r="AH79" s="106"/>
      <c r="AI79" s="105"/>
      <c r="AJ79" s="106"/>
      <c r="AK79" s="105"/>
      <c r="AL79" s="106"/>
      <c r="AM79" s="105"/>
      <c r="AN79" s="106"/>
      <c r="AO79" s="105"/>
      <c r="AP79" s="106"/>
      <c r="AQ79" s="105"/>
      <c r="AR79" s="106"/>
      <c r="AS79" s="105"/>
      <c r="AT79" s="106"/>
      <c r="AU79" s="105"/>
      <c r="AV79" s="106"/>
      <c r="AW79" s="105"/>
      <c r="AX79" s="109"/>
      <c r="AY79" s="25"/>
      <c r="AZ79" s="26"/>
      <c r="BA79" s="213"/>
      <c r="BB79" s="54"/>
      <c r="BC79" s="55"/>
      <c r="BD79" s="10"/>
      <c r="BE79" s="10"/>
      <c r="BF79" s="10"/>
      <c r="BG79" s="10"/>
      <c r="BH79" s="10"/>
      <c r="BI79" s="5"/>
      <c r="BJ79" s="54"/>
      <c r="BK79" s="55"/>
      <c r="BL79" s="10"/>
      <c r="BM79" s="10"/>
      <c r="BN79" s="10"/>
      <c r="BO79" s="10"/>
      <c r="BP79" s="10"/>
      <c r="BQ79" s="5"/>
      <c r="BR79" s="54"/>
      <c r="BS79" s="55"/>
      <c r="BT79" s="10"/>
      <c r="BU79" s="10"/>
      <c r="BV79" s="10"/>
      <c r="BW79" s="10"/>
      <c r="BX79" s="10"/>
      <c r="BY79" s="5"/>
    </row>
    <row r="80" spans="1:77" ht="15" customHeight="1" x14ac:dyDescent="0.3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25"/>
      <c r="U80" s="26"/>
      <c r="V80" s="10"/>
      <c r="W80" s="10"/>
      <c r="X80" s="10"/>
      <c r="Y80" s="10"/>
      <c r="Z80" s="181"/>
      <c r="AA80" s="108" t="s">
        <v>179</v>
      </c>
      <c r="AB80" s="104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25"/>
      <c r="AZ80" s="26"/>
      <c r="BA80" s="213"/>
      <c r="BB80" s="54"/>
      <c r="BC80" s="55"/>
      <c r="BD80" s="10"/>
      <c r="BE80" s="10"/>
      <c r="BF80" s="10"/>
      <c r="BG80" s="10"/>
      <c r="BH80" s="10"/>
      <c r="BI80" s="5"/>
      <c r="BJ80" s="54"/>
      <c r="BK80" s="55"/>
      <c r="BL80" s="10"/>
      <c r="BM80" s="10"/>
      <c r="BN80" s="10"/>
      <c r="BO80" s="10"/>
      <c r="BP80" s="10"/>
      <c r="BQ80" s="5"/>
      <c r="BR80" s="54"/>
      <c r="BS80" s="55"/>
      <c r="BT80" s="10"/>
      <c r="BU80" s="10"/>
      <c r="BV80" s="10"/>
      <c r="BW80" s="10"/>
      <c r="BX80" s="10"/>
      <c r="BY80" s="5"/>
    </row>
    <row r="81" spans="1:77" ht="15" thickBot="1" x14ac:dyDescent="0.3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25"/>
      <c r="U81" s="26"/>
      <c r="V81" s="10"/>
      <c r="W81" s="10"/>
      <c r="X81" s="10"/>
      <c r="Y81" s="10"/>
      <c r="Z81" s="181"/>
      <c r="AA81" s="108"/>
      <c r="AB81" s="104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25"/>
      <c r="AZ81" s="26"/>
      <c r="BA81" s="196"/>
      <c r="BB81" s="56"/>
      <c r="BC81" s="57"/>
      <c r="BD81" s="10"/>
      <c r="BE81" s="10"/>
      <c r="BF81" s="10"/>
      <c r="BG81" s="10"/>
      <c r="BH81" s="10"/>
      <c r="BI81" s="5"/>
      <c r="BJ81" s="56"/>
      <c r="BK81" s="57"/>
      <c r="BL81" s="10"/>
      <c r="BM81" s="10"/>
      <c r="BN81" s="10"/>
      <c r="BO81" s="10"/>
      <c r="BP81" s="10"/>
      <c r="BQ81" s="5"/>
      <c r="BR81" s="56"/>
      <c r="BS81" s="57"/>
      <c r="BT81" s="10"/>
      <c r="BU81" s="10"/>
      <c r="BV81" s="10"/>
      <c r="BW81" s="10"/>
      <c r="BX81" s="10"/>
      <c r="BY81" s="5"/>
    </row>
    <row r="82" spans="1:77" x14ac:dyDescent="0.3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25"/>
      <c r="U82" s="26"/>
      <c r="V82" s="10"/>
      <c r="W82" s="10"/>
      <c r="X82" s="10"/>
      <c r="Y82" s="10"/>
      <c r="Z82" s="181"/>
      <c r="AA82" s="108"/>
      <c r="AB82" s="104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25"/>
      <c r="AZ82" s="26"/>
      <c r="BA82" s="195" t="s">
        <v>31</v>
      </c>
      <c r="BB82" s="52" t="s">
        <v>206</v>
      </c>
      <c r="BC82" s="53"/>
      <c r="BD82" s="10"/>
      <c r="BE82" s="10"/>
      <c r="BF82" s="10"/>
      <c r="BG82" s="10"/>
      <c r="BH82" s="10"/>
      <c r="BI82" s="5"/>
      <c r="BJ82" s="7"/>
      <c r="BK82" s="10"/>
      <c r="BL82" s="10"/>
      <c r="BM82" s="10"/>
      <c r="BN82" s="10"/>
      <c r="BO82" s="10"/>
      <c r="BP82" s="10"/>
      <c r="BQ82" s="5"/>
      <c r="BR82" s="7"/>
      <c r="BS82" s="10"/>
      <c r="BT82" s="10"/>
      <c r="BU82" s="10"/>
      <c r="BV82" s="10"/>
      <c r="BW82" s="10"/>
      <c r="BX82" s="10"/>
      <c r="BY82" s="5"/>
    </row>
    <row r="83" spans="1:77" ht="14.4" customHeight="1" thickBot="1" x14ac:dyDescent="0.3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25"/>
      <c r="U83" s="26"/>
      <c r="V83" s="10"/>
      <c r="W83" s="10"/>
      <c r="X83" s="10"/>
      <c r="Y83" s="10"/>
      <c r="Z83" s="182"/>
      <c r="AA83" s="109"/>
      <c r="AB83" s="106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25"/>
      <c r="AZ83" s="26"/>
      <c r="BA83" s="213"/>
      <c r="BB83" s="54"/>
      <c r="BC83" s="55"/>
      <c r="BD83" s="10"/>
      <c r="BE83" s="10"/>
      <c r="BF83" s="10"/>
      <c r="BG83" s="10"/>
      <c r="BH83" s="10"/>
      <c r="BI83" s="5"/>
      <c r="BJ83" s="7"/>
      <c r="BK83" s="10"/>
      <c r="BL83" s="10"/>
      <c r="BM83" s="10"/>
      <c r="BN83" s="10"/>
      <c r="BO83" s="10"/>
      <c r="BP83" s="10"/>
      <c r="BQ83" s="5"/>
      <c r="BR83" s="7"/>
      <c r="BS83" s="10"/>
      <c r="BT83" s="10"/>
      <c r="BU83" s="10"/>
      <c r="BV83" s="10"/>
      <c r="BW83" s="10"/>
      <c r="BX83" s="10"/>
      <c r="BY83" s="5"/>
    </row>
    <row r="84" spans="1:77" x14ac:dyDescent="0.3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25"/>
      <c r="U84" s="26"/>
      <c r="V84" s="10"/>
      <c r="W84" s="10"/>
      <c r="X84" s="10"/>
      <c r="Y84" s="10"/>
      <c r="Z84" s="110" t="s">
        <v>29</v>
      </c>
      <c r="AA84" s="101" t="s">
        <v>50</v>
      </c>
      <c r="AB84" s="102"/>
      <c r="AC84" s="101" t="s">
        <v>170</v>
      </c>
      <c r="AD84" s="102"/>
      <c r="AE84" s="101" t="s">
        <v>47</v>
      </c>
      <c r="AF84" s="102"/>
      <c r="AG84" s="101" t="s">
        <v>90</v>
      </c>
      <c r="AH84" s="102"/>
      <c r="AI84" s="101" t="s">
        <v>35</v>
      </c>
      <c r="AJ84" s="102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25"/>
      <c r="AZ84" s="26"/>
      <c r="BA84" s="213"/>
      <c r="BB84" s="54"/>
      <c r="BC84" s="55"/>
      <c r="BD84" s="10"/>
      <c r="BE84" s="10"/>
      <c r="BF84" s="10"/>
      <c r="BG84" s="10"/>
      <c r="BH84" s="10"/>
      <c r="BI84" s="5"/>
      <c r="BJ84" s="7"/>
      <c r="BK84" s="10"/>
      <c r="BL84" s="10"/>
      <c r="BM84" s="10"/>
      <c r="BN84" s="10"/>
      <c r="BO84" s="10"/>
      <c r="BP84" s="10"/>
      <c r="BQ84" s="5"/>
      <c r="BR84" s="7"/>
      <c r="BS84" s="10"/>
      <c r="BT84" s="10"/>
      <c r="BU84" s="10"/>
      <c r="BV84" s="10"/>
      <c r="BW84" s="10"/>
      <c r="BX84" s="10"/>
      <c r="BY84" s="5"/>
    </row>
    <row r="85" spans="1:77" ht="14.4" customHeight="1" thickBot="1" x14ac:dyDescent="0.3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25"/>
      <c r="U85" s="26"/>
      <c r="V85" s="10"/>
      <c r="W85" s="10"/>
      <c r="X85" s="10"/>
      <c r="Y85" s="10"/>
      <c r="Z85" s="111"/>
      <c r="AA85" s="103"/>
      <c r="AB85" s="104"/>
      <c r="AC85" s="103"/>
      <c r="AD85" s="104"/>
      <c r="AE85" s="103"/>
      <c r="AF85" s="104"/>
      <c r="AG85" s="103"/>
      <c r="AH85" s="104"/>
      <c r="AI85" s="103"/>
      <c r="AJ85" s="104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25"/>
      <c r="AZ85" s="26"/>
      <c r="BA85" s="196"/>
      <c r="BB85" s="56"/>
      <c r="BC85" s="57"/>
      <c r="BD85" s="10"/>
      <c r="BE85" s="10"/>
      <c r="BF85" s="10"/>
      <c r="BG85" s="10"/>
      <c r="BH85" s="10"/>
      <c r="BI85" s="5"/>
      <c r="BJ85" s="7"/>
      <c r="BK85" s="10"/>
      <c r="BL85" s="10"/>
      <c r="BM85" s="10"/>
      <c r="BN85" s="10"/>
      <c r="BO85" s="10"/>
      <c r="BP85" s="10"/>
      <c r="BQ85" s="5"/>
      <c r="BR85" s="7"/>
      <c r="BS85" s="10"/>
      <c r="BT85" s="10"/>
      <c r="BU85" s="10"/>
      <c r="BV85" s="10"/>
      <c r="BW85" s="10"/>
      <c r="BX85" s="10"/>
      <c r="BY85" s="5"/>
    </row>
    <row r="86" spans="1:77" x14ac:dyDescent="0.3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25"/>
      <c r="U86" s="26"/>
      <c r="V86" s="10"/>
      <c r="W86" s="10"/>
      <c r="X86" s="10"/>
      <c r="Y86" s="10"/>
      <c r="Z86" s="111"/>
      <c r="AA86" s="103"/>
      <c r="AB86" s="104"/>
      <c r="AC86" s="103"/>
      <c r="AD86" s="104"/>
      <c r="AE86" s="103"/>
      <c r="AF86" s="104"/>
      <c r="AG86" s="103"/>
      <c r="AH86" s="104"/>
      <c r="AI86" s="103"/>
      <c r="AJ86" s="104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25"/>
      <c r="AZ86" s="26"/>
      <c r="BA86" s="195" t="s">
        <v>139</v>
      </c>
      <c r="BB86" s="7"/>
      <c r="BC86" s="10"/>
      <c r="BD86" s="10"/>
      <c r="BE86" s="10"/>
      <c r="BF86" s="10"/>
      <c r="BG86" s="10"/>
      <c r="BH86" s="10"/>
      <c r="BI86" s="5"/>
      <c r="BJ86" s="451" t="s">
        <v>166</v>
      </c>
      <c r="BK86" s="452"/>
      <c r="BL86" s="452"/>
      <c r="BM86" s="453"/>
      <c r="BN86" s="392" t="s">
        <v>171</v>
      </c>
      <c r="BO86" s="393"/>
      <c r="BP86" s="393"/>
      <c r="BQ86" s="393"/>
      <c r="BR86" s="7"/>
      <c r="BS86" s="10"/>
      <c r="BT86" s="10"/>
      <c r="BU86" s="10"/>
      <c r="BV86" s="10"/>
      <c r="BW86" s="10"/>
      <c r="BX86" s="10"/>
      <c r="BY86" s="5"/>
    </row>
    <row r="87" spans="1:77" ht="15" thickBot="1" x14ac:dyDescent="0.3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25"/>
      <c r="U87" s="26"/>
      <c r="V87" s="10"/>
      <c r="W87" s="10"/>
      <c r="X87" s="10"/>
      <c r="Y87" s="10"/>
      <c r="Z87" s="112"/>
      <c r="AA87" s="105"/>
      <c r="AB87" s="106"/>
      <c r="AC87" s="105"/>
      <c r="AD87" s="106"/>
      <c r="AE87" s="105"/>
      <c r="AF87" s="106"/>
      <c r="AG87" s="105"/>
      <c r="AH87" s="106"/>
      <c r="AI87" s="105"/>
      <c r="AJ87" s="106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25"/>
      <c r="AZ87" s="26"/>
      <c r="BA87" s="196"/>
      <c r="BB87" s="7"/>
      <c r="BC87" s="10"/>
      <c r="BD87" s="10"/>
      <c r="BE87" s="10"/>
      <c r="BF87" s="10"/>
      <c r="BG87" s="10"/>
      <c r="BH87" s="10"/>
      <c r="BI87" s="5"/>
      <c r="BJ87" s="454"/>
      <c r="BK87" s="455"/>
      <c r="BL87" s="455"/>
      <c r="BM87" s="456"/>
      <c r="BN87" s="394"/>
      <c r="BO87" s="395"/>
      <c r="BP87" s="395"/>
      <c r="BQ87" s="395"/>
      <c r="BR87" s="7"/>
      <c r="BS87" s="10"/>
      <c r="BT87" s="10"/>
      <c r="BU87" s="10"/>
      <c r="BV87" s="10"/>
      <c r="BW87" s="10"/>
      <c r="BX87" s="10"/>
      <c r="BY87" s="5"/>
    </row>
    <row r="88" spans="1:77" ht="14.4" customHeight="1" x14ac:dyDescent="0.3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25"/>
      <c r="U88" s="26"/>
      <c r="V88" s="10"/>
      <c r="W88" s="10"/>
      <c r="X88" s="10"/>
      <c r="Y88" s="10"/>
      <c r="Z88" s="110" t="s">
        <v>30</v>
      </c>
      <c r="AA88" s="101" t="s">
        <v>212</v>
      </c>
      <c r="AB88" s="102"/>
      <c r="AC88" s="101" t="s">
        <v>213</v>
      </c>
      <c r="AD88" s="102"/>
      <c r="AE88" s="101" t="s">
        <v>73</v>
      </c>
      <c r="AF88" s="102"/>
      <c r="AG88" s="101" t="s">
        <v>106</v>
      </c>
      <c r="AH88" s="102"/>
      <c r="AI88" s="101" t="s">
        <v>214</v>
      </c>
      <c r="AJ88" s="102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25"/>
      <c r="AZ88" s="26"/>
      <c r="BA88" s="195" t="s">
        <v>140</v>
      </c>
      <c r="BB88" s="7"/>
      <c r="BC88" s="10"/>
      <c r="BD88" s="10"/>
      <c r="BE88" s="10"/>
      <c r="BF88" s="10"/>
      <c r="BG88" s="10"/>
      <c r="BH88" s="10"/>
      <c r="BI88" s="5"/>
      <c r="BJ88" s="7"/>
      <c r="BK88" s="10"/>
      <c r="BL88" s="10"/>
      <c r="BM88" s="10"/>
      <c r="BN88" s="10"/>
      <c r="BO88" s="10"/>
      <c r="BP88" s="10"/>
      <c r="BQ88" s="5"/>
      <c r="BR88" s="7"/>
      <c r="BS88" s="10"/>
      <c r="BT88" s="10"/>
      <c r="BU88" s="10"/>
      <c r="BV88" s="10"/>
      <c r="BW88" s="10"/>
      <c r="BX88" s="10"/>
      <c r="BY88" s="5"/>
    </row>
    <row r="89" spans="1:77" ht="15" thickBot="1" x14ac:dyDescent="0.3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25"/>
      <c r="U89" s="26"/>
      <c r="V89" s="10"/>
      <c r="W89" s="10"/>
      <c r="X89" s="10"/>
      <c r="Y89" s="10"/>
      <c r="Z89" s="111"/>
      <c r="AA89" s="103"/>
      <c r="AB89" s="104"/>
      <c r="AC89" s="103"/>
      <c r="AD89" s="104"/>
      <c r="AE89" s="103"/>
      <c r="AF89" s="104"/>
      <c r="AG89" s="103"/>
      <c r="AH89" s="104"/>
      <c r="AI89" s="103"/>
      <c r="AJ89" s="104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25"/>
      <c r="AZ89" s="26"/>
      <c r="BA89" s="196"/>
      <c r="BB89" s="8"/>
      <c r="BC89" s="11"/>
      <c r="BD89" s="11"/>
      <c r="BE89" s="11"/>
      <c r="BF89" s="11"/>
      <c r="BG89" s="11"/>
      <c r="BH89" s="11"/>
      <c r="BI89" s="4"/>
      <c r="BJ89" s="8"/>
      <c r="BK89" s="11"/>
      <c r="BL89" s="11"/>
      <c r="BM89" s="11"/>
      <c r="BN89" s="11"/>
      <c r="BO89" s="11"/>
      <c r="BP89" s="11"/>
      <c r="BQ89" s="4"/>
      <c r="BR89" s="8"/>
      <c r="BS89" s="11"/>
      <c r="BT89" s="11"/>
      <c r="BU89" s="11"/>
      <c r="BV89" s="11"/>
      <c r="BW89" s="11"/>
      <c r="BX89" s="11"/>
      <c r="BY89" s="4"/>
    </row>
    <row r="90" spans="1:77" ht="14.4" customHeight="1" x14ac:dyDescent="0.3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25"/>
      <c r="U90" s="26"/>
      <c r="V90" s="10"/>
      <c r="W90" s="10"/>
      <c r="X90" s="10"/>
      <c r="Y90" s="10"/>
      <c r="Z90" s="111"/>
      <c r="AA90" s="103"/>
      <c r="AB90" s="104"/>
      <c r="AC90" s="103"/>
      <c r="AD90" s="104"/>
      <c r="AE90" s="103"/>
      <c r="AF90" s="104"/>
      <c r="AG90" s="103"/>
      <c r="AH90" s="104"/>
      <c r="AI90" s="103"/>
      <c r="AJ90" s="104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25"/>
      <c r="AZ90" s="26"/>
      <c r="BA90" s="197" t="s">
        <v>24</v>
      </c>
      <c r="BB90" s="419" t="s">
        <v>229</v>
      </c>
      <c r="BC90" s="420"/>
      <c r="BD90" s="420"/>
      <c r="BE90" s="420"/>
      <c r="BF90" s="420"/>
      <c r="BG90" s="420"/>
      <c r="BH90" s="420"/>
      <c r="BI90" s="421"/>
      <c r="BJ90" s="445" t="s">
        <v>235</v>
      </c>
      <c r="BK90" s="446"/>
      <c r="BL90" s="446"/>
      <c r="BM90" s="446"/>
      <c r="BN90" s="446"/>
      <c r="BO90" s="446"/>
      <c r="BP90" s="446"/>
      <c r="BQ90" s="447"/>
      <c r="BR90" s="459" t="s">
        <v>241</v>
      </c>
      <c r="BS90" s="460"/>
      <c r="BT90" s="460"/>
      <c r="BU90" s="460"/>
      <c r="BV90" s="460"/>
      <c r="BW90" s="460"/>
      <c r="BX90" s="460"/>
      <c r="BY90" s="461"/>
    </row>
    <row r="91" spans="1:77" ht="14.4" customHeight="1" thickBot="1" x14ac:dyDescent="0.3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25"/>
      <c r="U91" s="26"/>
      <c r="V91" s="10"/>
      <c r="W91" s="10"/>
      <c r="X91" s="10"/>
      <c r="Y91" s="10"/>
      <c r="Z91" s="112"/>
      <c r="AA91" s="105"/>
      <c r="AB91" s="106"/>
      <c r="AC91" s="105"/>
      <c r="AD91" s="106"/>
      <c r="AE91" s="105"/>
      <c r="AF91" s="106"/>
      <c r="AG91" s="105"/>
      <c r="AH91" s="106"/>
      <c r="AI91" s="105"/>
      <c r="AJ91" s="106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25"/>
      <c r="AZ91" s="26"/>
      <c r="BA91" s="198"/>
      <c r="BB91" s="422"/>
      <c r="BC91" s="423"/>
      <c r="BD91" s="423"/>
      <c r="BE91" s="423"/>
      <c r="BF91" s="423"/>
      <c r="BG91" s="423"/>
      <c r="BH91" s="423"/>
      <c r="BI91" s="424"/>
      <c r="BJ91" s="448"/>
      <c r="BK91" s="449"/>
      <c r="BL91" s="449"/>
      <c r="BM91" s="449"/>
      <c r="BN91" s="449"/>
      <c r="BO91" s="449"/>
      <c r="BP91" s="449"/>
      <c r="BQ91" s="450"/>
      <c r="BR91" s="462"/>
      <c r="BS91" s="463"/>
      <c r="BT91" s="463"/>
      <c r="BU91" s="463"/>
      <c r="BV91" s="463"/>
      <c r="BW91" s="463"/>
      <c r="BX91" s="463"/>
      <c r="BY91" s="464"/>
    </row>
    <row r="92" spans="1:77" x14ac:dyDescent="0.3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25"/>
      <c r="U92" s="26"/>
      <c r="V92" s="10"/>
      <c r="W92" s="10"/>
      <c r="X92" s="10"/>
      <c r="Y92" s="10"/>
      <c r="Z92" s="110" t="s">
        <v>31</v>
      </c>
      <c r="AA92" s="101" t="s">
        <v>57</v>
      </c>
      <c r="AB92" s="102"/>
      <c r="AC92" s="101" t="s">
        <v>88</v>
      </c>
      <c r="AD92" s="102"/>
      <c r="AE92" s="101" t="s">
        <v>215</v>
      </c>
      <c r="AF92" s="102"/>
      <c r="AG92" s="101" t="s">
        <v>216</v>
      </c>
      <c r="AH92" s="102"/>
      <c r="AI92" s="101" t="s">
        <v>109</v>
      </c>
      <c r="AJ92" s="102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25"/>
      <c r="AZ92" s="26"/>
      <c r="BA92" s="195" t="s">
        <v>28</v>
      </c>
      <c r="BB92" s="52" t="s">
        <v>231</v>
      </c>
      <c r="BC92" s="53"/>
      <c r="BD92" s="10"/>
      <c r="BE92" s="10"/>
      <c r="BF92" s="10"/>
      <c r="BG92" s="10"/>
      <c r="BH92" s="10"/>
      <c r="BI92" s="5"/>
      <c r="BJ92" s="52" t="s">
        <v>236</v>
      </c>
      <c r="BK92" s="53"/>
      <c r="BL92" s="10"/>
      <c r="BM92" s="10"/>
      <c r="BN92" s="10"/>
      <c r="BO92" s="10"/>
      <c r="BP92" s="10"/>
      <c r="BQ92" s="5"/>
      <c r="BR92" s="7"/>
      <c r="BS92" s="10"/>
      <c r="BT92" s="10"/>
      <c r="BU92" s="10"/>
      <c r="BV92" s="10"/>
      <c r="BW92" s="10"/>
      <c r="BX92" s="10"/>
      <c r="BY92" s="5"/>
    </row>
    <row r="93" spans="1:77" x14ac:dyDescent="0.3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25"/>
      <c r="U93" s="26"/>
      <c r="V93" s="10"/>
      <c r="W93" s="10"/>
      <c r="X93" s="10"/>
      <c r="Y93" s="10"/>
      <c r="Z93" s="111"/>
      <c r="AA93" s="103"/>
      <c r="AB93" s="104"/>
      <c r="AC93" s="103"/>
      <c r="AD93" s="104"/>
      <c r="AE93" s="103"/>
      <c r="AF93" s="104"/>
      <c r="AG93" s="103"/>
      <c r="AH93" s="104"/>
      <c r="AI93" s="103"/>
      <c r="AJ93" s="104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25"/>
      <c r="AZ93" s="26"/>
      <c r="BA93" s="213"/>
      <c r="BB93" s="54"/>
      <c r="BC93" s="55"/>
      <c r="BD93" s="10"/>
      <c r="BE93" s="10"/>
      <c r="BF93" s="10"/>
      <c r="BG93" s="10"/>
      <c r="BH93" s="10"/>
      <c r="BI93" s="5"/>
      <c r="BJ93" s="54"/>
      <c r="BK93" s="55"/>
      <c r="BL93" s="10"/>
      <c r="BM93" s="10"/>
      <c r="BN93" s="10"/>
      <c r="BO93" s="10"/>
      <c r="BP93" s="10"/>
      <c r="BQ93" s="5"/>
      <c r="BR93" s="7"/>
      <c r="BS93" s="10"/>
      <c r="BT93" s="10"/>
      <c r="BU93" s="10"/>
      <c r="BV93" s="10"/>
      <c r="BW93" s="10"/>
      <c r="BX93" s="10"/>
      <c r="BY93" s="5"/>
    </row>
    <row r="94" spans="1:77" ht="14.4" customHeight="1" x14ac:dyDescent="0.3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25"/>
      <c r="U94" s="26"/>
      <c r="V94" s="10"/>
      <c r="W94" s="10"/>
      <c r="X94" s="10"/>
      <c r="Y94" s="10"/>
      <c r="Z94" s="111"/>
      <c r="AA94" s="103"/>
      <c r="AB94" s="104"/>
      <c r="AC94" s="103"/>
      <c r="AD94" s="104"/>
      <c r="AE94" s="103"/>
      <c r="AF94" s="104"/>
      <c r="AG94" s="103"/>
      <c r="AH94" s="104"/>
      <c r="AI94" s="103"/>
      <c r="AJ94" s="104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25"/>
      <c r="AZ94" s="26"/>
      <c r="BA94" s="213"/>
      <c r="BB94" s="54"/>
      <c r="BC94" s="55"/>
      <c r="BD94" s="10"/>
      <c r="BE94" s="10"/>
      <c r="BF94" s="10"/>
      <c r="BG94" s="10"/>
      <c r="BH94" s="10"/>
      <c r="BI94" s="5"/>
      <c r="BJ94" s="54"/>
      <c r="BK94" s="55"/>
      <c r="BL94" s="10"/>
      <c r="BM94" s="10"/>
      <c r="BN94" s="10"/>
      <c r="BO94" s="10"/>
      <c r="BP94" s="10"/>
      <c r="BQ94" s="5"/>
      <c r="BR94" s="7"/>
      <c r="BS94" s="10"/>
      <c r="BT94" s="10"/>
      <c r="BU94" s="10"/>
      <c r="BV94" s="10"/>
      <c r="BW94" s="10"/>
      <c r="BX94" s="10"/>
      <c r="BY94" s="5"/>
    </row>
    <row r="95" spans="1:77" ht="14.4" customHeight="1" thickBot="1" x14ac:dyDescent="0.3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25"/>
      <c r="U95" s="26"/>
      <c r="V95" s="10"/>
      <c r="W95" s="10"/>
      <c r="X95" s="10"/>
      <c r="Y95" s="10"/>
      <c r="Z95" s="112"/>
      <c r="AA95" s="105"/>
      <c r="AB95" s="106"/>
      <c r="AC95" s="105"/>
      <c r="AD95" s="106"/>
      <c r="AE95" s="105"/>
      <c r="AF95" s="106"/>
      <c r="AG95" s="105"/>
      <c r="AH95" s="106"/>
      <c r="AI95" s="105"/>
      <c r="AJ95" s="106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25"/>
      <c r="AZ95" s="26"/>
      <c r="BA95" s="196"/>
      <c r="BB95" s="56"/>
      <c r="BC95" s="57"/>
      <c r="BD95" s="10"/>
      <c r="BE95" s="10"/>
      <c r="BF95" s="10"/>
      <c r="BG95" s="10"/>
      <c r="BH95" s="10"/>
      <c r="BI95" s="5"/>
      <c r="BJ95" s="56"/>
      <c r="BK95" s="57"/>
      <c r="BL95" s="10"/>
      <c r="BM95" s="10"/>
      <c r="BN95" s="10"/>
      <c r="BO95" s="10"/>
      <c r="BP95" s="10"/>
      <c r="BQ95" s="5"/>
      <c r="BR95" s="7"/>
      <c r="BS95" s="10"/>
      <c r="BT95" s="10"/>
      <c r="BU95" s="10"/>
      <c r="BV95" s="10"/>
      <c r="BW95" s="10"/>
      <c r="BX95" s="10"/>
      <c r="BY95" s="5"/>
    </row>
    <row r="96" spans="1:77" ht="14.4" customHeight="1" x14ac:dyDescent="0.3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25"/>
      <c r="U96" s="26"/>
      <c r="V96" s="10"/>
      <c r="W96" s="10"/>
      <c r="X96" s="10"/>
      <c r="Y96" s="10"/>
      <c r="Z96" s="180" t="s">
        <v>139</v>
      </c>
      <c r="AA96" s="201" t="s">
        <v>162</v>
      </c>
      <c r="AB96" s="201"/>
      <c r="AC96" s="201"/>
      <c r="AD96" s="202"/>
      <c r="AE96" s="189" t="s">
        <v>163</v>
      </c>
      <c r="AF96" s="190"/>
      <c r="AG96" s="190"/>
      <c r="AH96" s="191"/>
      <c r="AI96" s="189" t="s">
        <v>166</v>
      </c>
      <c r="AJ96" s="190"/>
      <c r="AK96" s="190"/>
      <c r="AL96" s="191"/>
      <c r="AM96" s="168" t="s">
        <v>167</v>
      </c>
      <c r="AN96" s="169"/>
      <c r="AO96" s="169"/>
      <c r="AP96" s="170"/>
      <c r="AQ96" s="183" t="s">
        <v>169</v>
      </c>
      <c r="AR96" s="184"/>
      <c r="AS96" s="184"/>
      <c r="AT96" s="185"/>
      <c r="AU96" s="183" t="s">
        <v>171</v>
      </c>
      <c r="AV96" s="184"/>
      <c r="AW96" s="184"/>
      <c r="AX96" s="184"/>
      <c r="AY96" s="25"/>
      <c r="AZ96" s="26"/>
      <c r="BA96" s="195" t="s">
        <v>29</v>
      </c>
      <c r="BB96" s="7"/>
      <c r="BC96" s="10"/>
      <c r="BD96" s="10"/>
      <c r="BE96" s="10"/>
      <c r="BF96" s="10"/>
      <c r="BG96" s="10"/>
      <c r="BH96" s="10"/>
      <c r="BI96" s="5"/>
      <c r="BJ96" s="64" t="s">
        <v>237</v>
      </c>
      <c r="BK96" s="65"/>
      <c r="BL96" s="52" t="s">
        <v>238</v>
      </c>
      <c r="BM96" s="53"/>
      <c r="BN96" s="52" t="s">
        <v>239</v>
      </c>
      <c r="BO96" s="53"/>
      <c r="BP96" s="10"/>
      <c r="BQ96" s="5"/>
      <c r="BR96" s="52" t="s">
        <v>128</v>
      </c>
      <c r="BS96" s="53"/>
      <c r="BT96" s="10"/>
      <c r="BU96" s="10"/>
      <c r="BV96" s="10"/>
      <c r="BW96" s="10"/>
      <c r="BX96" s="10"/>
      <c r="BY96" s="5"/>
    </row>
    <row r="97" spans="1:77" ht="15" thickBot="1" x14ac:dyDescent="0.3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25"/>
      <c r="U97" s="26"/>
      <c r="V97" s="10"/>
      <c r="W97" s="10"/>
      <c r="X97" s="10"/>
      <c r="Y97" s="10"/>
      <c r="Z97" s="181"/>
      <c r="AA97" s="203"/>
      <c r="AB97" s="203"/>
      <c r="AC97" s="203"/>
      <c r="AD97" s="204"/>
      <c r="AE97" s="192"/>
      <c r="AF97" s="193"/>
      <c r="AG97" s="193"/>
      <c r="AH97" s="194"/>
      <c r="AI97" s="192"/>
      <c r="AJ97" s="193"/>
      <c r="AK97" s="193"/>
      <c r="AL97" s="194"/>
      <c r="AM97" s="171"/>
      <c r="AN97" s="172"/>
      <c r="AO97" s="172"/>
      <c r="AP97" s="173"/>
      <c r="AQ97" s="186"/>
      <c r="AR97" s="187"/>
      <c r="AS97" s="187"/>
      <c r="AT97" s="188"/>
      <c r="AU97" s="186"/>
      <c r="AV97" s="187"/>
      <c r="AW97" s="187"/>
      <c r="AX97" s="187"/>
      <c r="AY97" s="25"/>
      <c r="AZ97" s="26"/>
      <c r="BA97" s="213"/>
      <c r="BB97" s="7"/>
      <c r="BC97" s="10"/>
      <c r="BD97" s="10"/>
      <c r="BE97" s="10"/>
      <c r="BF97" s="10"/>
      <c r="BG97" s="10"/>
      <c r="BH97" s="10"/>
      <c r="BI97" s="5"/>
      <c r="BJ97" s="66"/>
      <c r="BK97" s="67"/>
      <c r="BL97" s="54"/>
      <c r="BM97" s="55"/>
      <c r="BN97" s="54"/>
      <c r="BO97" s="55"/>
      <c r="BP97" s="10"/>
      <c r="BQ97" s="5"/>
      <c r="BR97" s="54"/>
      <c r="BS97" s="55"/>
      <c r="BT97" s="10"/>
      <c r="BU97" s="10"/>
      <c r="BV97" s="10"/>
      <c r="BW97" s="10"/>
      <c r="BX97" s="10"/>
      <c r="BY97" s="5"/>
    </row>
    <row r="98" spans="1:77" ht="15" thickBot="1" x14ac:dyDescent="0.3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25"/>
      <c r="U98" s="26"/>
      <c r="V98" s="10"/>
      <c r="W98" s="10"/>
      <c r="X98" s="10"/>
      <c r="Y98" s="10"/>
      <c r="Z98" s="181"/>
      <c r="AA98" s="205"/>
      <c r="AB98" s="205"/>
      <c r="AC98" s="205"/>
      <c r="AD98" s="206"/>
      <c r="AE98" s="183" t="s">
        <v>172</v>
      </c>
      <c r="AF98" s="184"/>
      <c r="AG98" s="184"/>
      <c r="AH98" s="185"/>
      <c r="AI98" s="168" t="s">
        <v>175</v>
      </c>
      <c r="AJ98" s="169"/>
      <c r="AK98" s="169"/>
      <c r="AL98" s="170"/>
      <c r="AM98" s="174" t="s">
        <v>177</v>
      </c>
      <c r="AN98" s="175"/>
      <c r="AO98" s="175"/>
      <c r="AP98" s="176"/>
      <c r="AQ98" s="10"/>
      <c r="AR98" s="10"/>
      <c r="AS98" s="10"/>
      <c r="AT98" s="10"/>
      <c r="AU98" s="10"/>
      <c r="AV98" s="10"/>
      <c r="AW98" s="10"/>
      <c r="AX98" s="10"/>
      <c r="AY98" s="25"/>
      <c r="AZ98" s="26"/>
      <c r="BA98" s="213"/>
      <c r="BB98" s="7"/>
      <c r="BC98" s="10"/>
      <c r="BD98" s="10"/>
      <c r="BE98" s="10"/>
      <c r="BF98" s="10"/>
      <c r="BG98" s="10"/>
      <c r="BH98" s="10"/>
      <c r="BI98" s="5"/>
      <c r="BJ98" s="66"/>
      <c r="BK98" s="67"/>
      <c r="BL98" s="54"/>
      <c r="BM98" s="55"/>
      <c r="BN98" s="54"/>
      <c r="BO98" s="55"/>
      <c r="BP98" s="10"/>
      <c r="BQ98" s="5"/>
      <c r="BR98" s="54"/>
      <c r="BS98" s="55"/>
      <c r="BT98" s="10"/>
      <c r="BU98" s="10"/>
      <c r="BV98" s="10"/>
      <c r="BW98" s="10"/>
      <c r="BX98" s="10"/>
      <c r="BY98" s="5"/>
    </row>
    <row r="99" spans="1:77" ht="14.4" customHeight="1" thickBot="1" x14ac:dyDescent="0.3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25"/>
      <c r="U99" s="26"/>
      <c r="V99" s="10"/>
      <c r="W99" s="10"/>
      <c r="X99" s="10"/>
      <c r="Y99" s="10"/>
      <c r="Z99" s="181"/>
      <c r="AA99" s="10"/>
      <c r="AB99" s="10"/>
      <c r="AC99" s="10"/>
      <c r="AD99" s="10"/>
      <c r="AE99" s="186"/>
      <c r="AF99" s="187"/>
      <c r="AG99" s="187"/>
      <c r="AH99" s="188"/>
      <c r="AI99" s="171"/>
      <c r="AJ99" s="172"/>
      <c r="AK99" s="172"/>
      <c r="AL99" s="173"/>
      <c r="AM99" s="177"/>
      <c r="AN99" s="178"/>
      <c r="AO99" s="178"/>
      <c r="AP99" s="179"/>
      <c r="AQ99" s="10"/>
      <c r="AR99" s="10"/>
      <c r="AS99" s="10"/>
      <c r="AT99" s="10"/>
      <c r="AU99" s="10"/>
      <c r="AV99" s="10"/>
      <c r="AW99" s="10"/>
      <c r="AX99" s="10"/>
      <c r="AY99" s="25"/>
      <c r="AZ99" s="26"/>
      <c r="BA99" s="196"/>
      <c r="BB99" s="7"/>
      <c r="BC99" s="10"/>
      <c r="BD99" s="10"/>
      <c r="BE99" s="10"/>
      <c r="BF99" s="10"/>
      <c r="BG99" s="10"/>
      <c r="BH99" s="10"/>
      <c r="BI99" s="5"/>
      <c r="BJ99" s="68"/>
      <c r="BK99" s="69"/>
      <c r="BL99" s="56"/>
      <c r="BM99" s="57"/>
      <c r="BN99" s="56"/>
      <c r="BO99" s="57"/>
      <c r="BP99" s="10"/>
      <c r="BQ99" s="5"/>
      <c r="BR99" s="56"/>
      <c r="BS99" s="57"/>
      <c r="BT99" s="10"/>
      <c r="BU99" s="10"/>
      <c r="BV99" s="10"/>
      <c r="BW99" s="10"/>
      <c r="BX99" s="10"/>
      <c r="BY99" s="5"/>
    </row>
    <row r="100" spans="1:77" x14ac:dyDescent="0.3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25"/>
      <c r="U100" s="26"/>
      <c r="V100" s="10"/>
      <c r="W100" s="10"/>
      <c r="X100" s="10"/>
      <c r="Y100" s="10"/>
      <c r="Z100" s="181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25"/>
      <c r="AZ100" s="26"/>
      <c r="BA100" s="195" t="s">
        <v>30</v>
      </c>
      <c r="BB100" s="52" t="s">
        <v>232</v>
      </c>
      <c r="BC100" s="53"/>
      <c r="BD100" s="52" t="s">
        <v>233</v>
      </c>
      <c r="BE100" s="53"/>
      <c r="BF100" s="10"/>
      <c r="BG100" s="10"/>
      <c r="BH100" s="10"/>
      <c r="BI100" s="5"/>
      <c r="BJ100" s="70" t="s">
        <v>240</v>
      </c>
      <c r="BK100" s="71"/>
      <c r="BL100" s="10"/>
      <c r="BM100" s="10"/>
      <c r="BN100" s="10"/>
      <c r="BO100" s="10"/>
      <c r="BP100" s="10"/>
      <c r="BQ100" s="5"/>
      <c r="BR100" s="52" t="s">
        <v>43</v>
      </c>
      <c r="BS100" s="53"/>
      <c r="BT100" s="52" t="s">
        <v>242</v>
      </c>
      <c r="BU100" s="53"/>
      <c r="BV100" s="10"/>
      <c r="BW100" s="10"/>
      <c r="BX100" s="10"/>
      <c r="BY100" s="5"/>
    </row>
    <row r="101" spans="1:77" ht="15" thickBot="1" x14ac:dyDescent="0.3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25"/>
      <c r="U101" s="26"/>
      <c r="V101" s="10"/>
      <c r="W101" s="10"/>
      <c r="X101" s="10"/>
      <c r="Y101" s="10"/>
      <c r="Z101" s="182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25"/>
      <c r="AZ101" s="26"/>
      <c r="BA101" s="213"/>
      <c r="BB101" s="54"/>
      <c r="BC101" s="55"/>
      <c r="BD101" s="54"/>
      <c r="BE101" s="55"/>
      <c r="BF101" s="10"/>
      <c r="BG101" s="10"/>
      <c r="BH101" s="10"/>
      <c r="BI101" s="5"/>
      <c r="BJ101" s="72"/>
      <c r="BK101" s="73"/>
      <c r="BL101" s="10"/>
      <c r="BM101" s="10"/>
      <c r="BN101" s="10"/>
      <c r="BO101" s="10"/>
      <c r="BP101" s="10"/>
      <c r="BQ101" s="5"/>
      <c r="BR101" s="54"/>
      <c r="BS101" s="55"/>
      <c r="BT101" s="56"/>
      <c r="BU101" s="57"/>
      <c r="BV101" s="10"/>
      <c r="BW101" s="10"/>
      <c r="BX101" s="10"/>
      <c r="BY101" s="5"/>
    </row>
    <row r="102" spans="1:77" ht="14.4" customHeight="1" x14ac:dyDescent="0.3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25"/>
      <c r="U102" s="26"/>
      <c r="V102" s="10"/>
      <c r="W102" s="10"/>
      <c r="X102" s="10"/>
      <c r="Y102" s="10"/>
      <c r="Z102" s="180" t="s">
        <v>140</v>
      </c>
      <c r="AA102" s="107" t="s">
        <v>217</v>
      </c>
      <c r="AB102" s="107"/>
      <c r="AC102" s="107"/>
      <c r="AD102" s="102"/>
      <c r="AE102" s="189" t="s">
        <v>218</v>
      </c>
      <c r="AF102" s="190"/>
      <c r="AG102" s="190"/>
      <c r="AH102" s="191"/>
      <c r="AI102" s="168" t="s">
        <v>148</v>
      </c>
      <c r="AJ102" s="169"/>
      <c r="AK102" s="169"/>
      <c r="AL102" s="170"/>
      <c r="AM102" s="168" t="s">
        <v>219</v>
      </c>
      <c r="AN102" s="169"/>
      <c r="AO102" s="169"/>
      <c r="AP102" s="170"/>
      <c r="AQ102" s="150" t="s">
        <v>221</v>
      </c>
      <c r="AR102" s="151"/>
      <c r="AS102" s="151"/>
      <c r="AT102" s="152"/>
      <c r="AU102" s="168" t="s">
        <v>222</v>
      </c>
      <c r="AV102" s="169"/>
      <c r="AW102" s="169"/>
      <c r="AX102" s="170"/>
      <c r="AY102" s="25"/>
      <c r="AZ102" s="26"/>
      <c r="BA102" s="213"/>
      <c r="BB102" s="54"/>
      <c r="BC102" s="55"/>
      <c r="BD102" s="54"/>
      <c r="BE102" s="55"/>
      <c r="BF102" s="10"/>
      <c r="BG102" s="10"/>
      <c r="BH102" s="10"/>
      <c r="BI102" s="5"/>
      <c r="BJ102" s="72"/>
      <c r="BK102" s="73"/>
      <c r="BL102" s="10"/>
      <c r="BM102" s="10"/>
      <c r="BN102" s="10"/>
      <c r="BO102" s="10"/>
      <c r="BP102" s="10"/>
      <c r="BQ102" s="5"/>
      <c r="BR102" s="54"/>
      <c r="BS102" s="55"/>
      <c r="BT102" s="10"/>
      <c r="BU102" s="10"/>
      <c r="BV102" s="10"/>
      <c r="BW102" s="10"/>
      <c r="BX102" s="10"/>
      <c r="BY102" s="5"/>
    </row>
    <row r="103" spans="1:77" ht="15" thickBot="1" x14ac:dyDescent="0.3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25"/>
      <c r="U103" s="26"/>
      <c r="V103" s="10"/>
      <c r="W103" s="10"/>
      <c r="X103" s="10"/>
      <c r="Y103" s="10"/>
      <c r="Z103" s="181"/>
      <c r="AA103" s="108"/>
      <c r="AB103" s="108"/>
      <c r="AC103" s="108"/>
      <c r="AD103" s="104"/>
      <c r="AE103" s="192"/>
      <c r="AF103" s="193"/>
      <c r="AG103" s="193"/>
      <c r="AH103" s="194"/>
      <c r="AI103" s="171"/>
      <c r="AJ103" s="172"/>
      <c r="AK103" s="172"/>
      <c r="AL103" s="173"/>
      <c r="AM103" s="171"/>
      <c r="AN103" s="172"/>
      <c r="AO103" s="172"/>
      <c r="AP103" s="173"/>
      <c r="AQ103" s="153"/>
      <c r="AR103" s="154"/>
      <c r="AS103" s="154"/>
      <c r="AT103" s="155"/>
      <c r="AU103" s="171"/>
      <c r="AV103" s="172"/>
      <c r="AW103" s="172"/>
      <c r="AX103" s="173"/>
      <c r="AY103" s="25"/>
      <c r="AZ103" s="26"/>
      <c r="BA103" s="196"/>
      <c r="BB103" s="56"/>
      <c r="BC103" s="57"/>
      <c r="BD103" s="56"/>
      <c r="BE103" s="57"/>
      <c r="BF103" s="10"/>
      <c r="BG103" s="10"/>
      <c r="BH103" s="10"/>
      <c r="BI103" s="5"/>
      <c r="BJ103" s="74"/>
      <c r="BK103" s="75"/>
      <c r="BL103" s="10"/>
      <c r="BM103" s="10"/>
      <c r="BN103" s="10"/>
      <c r="BO103" s="10"/>
      <c r="BP103" s="10"/>
      <c r="BQ103" s="5"/>
      <c r="BR103" s="56"/>
      <c r="BS103" s="57"/>
      <c r="BT103" s="10"/>
      <c r="BU103" s="10"/>
      <c r="BV103" s="10"/>
      <c r="BW103" s="10"/>
      <c r="BX103" s="10"/>
      <c r="BY103" s="5"/>
    </row>
    <row r="104" spans="1:77" ht="15" thickBot="1" x14ac:dyDescent="0.3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25"/>
      <c r="U104" s="26"/>
      <c r="V104" s="10"/>
      <c r="W104" s="10"/>
      <c r="X104" s="10"/>
      <c r="Y104" s="10"/>
      <c r="Z104" s="181"/>
      <c r="AA104" s="109"/>
      <c r="AB104" s="109"/>
      <c r="AC104" s="109"/>
      <c r="AD104" s="106"/>
      <c r="AE104" s="168" t="s">
        <v>220</v>
      </c>
      <c r="AF104" s="169"/>
      <c r="AG104" s="169"/>
      <c r="AH104" s="17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25"/>
      <c r="AZ104" s="26"/>
      <c r="BA104" s="195" t="s">
        <v>31</v>
      </c>
      <c r="BB104" s="52" t="s">
        <v>234</v>
      </c>
      <c r="BC104" s="53"/>
      <c r="BD104" s="10"/>
      <c r="BE104" s="10"/>
      <c r="BF104" s="10"/>
      <c r="BG104" s="10"/>
      <c r="BH104" s="10"/>
      <c r="BI104" s="5"/>
      <c r="BJ104" s="7"/>
      <c r="BK104" s="10"/>
      <c r="BL104" s="10"/>
      <c r="BM104" s="10"/>
      <c r="BN104" s="10"/>
      <c r="BO104" s="10"/>
      <c r="BP104" s="10"/>
      <c r="BQ104" s="5"/>
      <c r="BR104" s="52" t="s">
        <v>114</v>
      </c>
      <c r="BS104" s="53"/>
      <c r="BT104" s="52" t="s">
        <v>243</v>
      </c>
      <c r="BU104" s="53"/>
      <c r="BV104" s="10"/>
      <c r="BW104" s="10"/>
      <c r="BX104" s="10"/>
      <c r="BY104" s="5"/>
    </row>
    <row r="105" spans="1:77" ht="14.4" customHeight="1" thickBot="1" x14ac:dyDescent="0.3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25"/>
      <c r="U105" s="26"/>
      <c r="V105" s="10"/>
      <c r="W105" s="10"/>
      <c r="X105" s="10"/>
      <c r="Y105" s="10"/>
      <c r="Z105" s="181"/>
      <c r="AA105" s="10"/>
      <c r="AB105" s="10"/>
      <c r="AC105" s="10"/>
      <c r="AD105" s="10"/>
      <c r="AE105" s="171"/>
      <c r="AF105" s="172"/>
      <c r="AG105" s="172"/>
      <c r="AH105" s="173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25"/>
      <c r="AZ105" s="26"/>
      <c r="BA105" s="213"/>
      <c r="BB105" s="54"/>
      <c r="BC105" s="55"/>
      <c r="BD105" s="10"/>
      <c r="BE105" s="10"/>
      <c r="BF105" s="10"/>
      <c r="BG105" s="10"/>
      <c r="BH105" s="10"/>
      <c r="BI105" s="5"/>
      <c r="BJ105" s="7"/>
      <c r="BK105" s="10"/>
      <c r="BL105" s="10"/>
      <c r="BM105" s="10"/>
      <c r="BN105" s="10"/>
      <c r="BO105" s="10"/>
      <c r="BP105" s="10"/>
      <c r="BQ105" s="5"/>
      <c r="BR105" s="54"/>
      <c r="BS105" s="55"/>
      <c r="BT105" s="56"/>
      <c r="BU105" s="57"/>
      <c r="BV105" s="10"/>
      <c r="BW105" s="10"/>
      <c r="BX105" s="10"/>
      <c r="BY105" s="5"/>
    </row>
    <row r="106" spans="1:77" x14ac:dyDescent="0.3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25"/>
      <c r="U106" s="26"/>
      <c r="V106" s="10"/>
      <c r="W106" s="10"/>
      <c r="X106" s="10"/>
      <c r="Y106" s="10"/>
      <c r="Z106" s="181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25"/>
      <c r="AZ106" s="26"/>
      <c r="BA106" s="213"/>
      <c r="BB106" s="54"/>
      <c r="BC106" s="55"/>
      <c r="BD106" s="10"/>
      <c r="BE106" s="10"/>
      <c r="BF106" s="10"/>
      <c r="BG106" s="10"/>
      <c r="BH106" s="10"/>
      <c r="BI106" s="5"/>
      <c r="BJ106" s="7"/>
      <c r="BK106" s="10"/>
      <c r="BL106" s="10"/>
      <c r="BM106" s="10"/>
      <c r="BN106" s="10"/>
      <c r="BO106" s="10"/>
      <c r="BP106" s="10"/>
      <c r="BQ106" s="5"/>
      <c r="BR106" s="54"/>
      <c r="BS106" s="55"/>
      <c r="BT106" s="10"/>
      <c r="BU106" s="10"/>
      <c r="BV106" s="10"/>
      <c r="BW106" s="10"/>
      <c r="BX106" s="10"/>
      <c r="BY106" s="5"/>
    </row>
    <row r="107" spans="1:77" ht="14.4" customHeight="1" thickBot="1" x14ac:dyDescent="0.3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25"/>
      <c r="U107" s="26"/>
      <c r="V107" s="10"/>
      <c r="W107" s="10"/>
      <c r="X107" s="10"/>
      <c r="Y107" s="10"/>
      <c r="Z107" s="182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25"/>
      <c r="AZ107" s="26"/>
      <c r="BA107" s="196"/>
      <c r="BB107" s="56"/>
      <c r="BC107" s="57"/>
      <c r="BD107" s="10"/>
      <c r="BE107" s="10"/>
      <c r="BF107" s="10"/>
      <c r="BG107" s="10"/>
      <c r="BH107" s="10"/>
      <c r="BI107" s="5"/>
      <c r="BJ107" s="7"/>
      <c r="BK107" s="10"/>
      <c r="BL107" s="10"/>
      <c r="BM107" s="10"/>
      <c r="BN107" s="10"/>
      <c r="BO107" s="10"/>
      <c r="BP107" s="10"/>
      <c r="BQ107" s="5"/>
      <c r="BR107" s="56"/>
      <c r="BS107" s="57"/>
      <c r="BT107" s="10"/>
      <c r="BU107" s="10"/>
      <c r="BV107" s="10"/>
      <c r="BW107" s="10"/>
      <c r="BX107" s="10"/>
      <c r="BY107" s="5"/>
    </row>
    <row r="108" spans="1:77" ht="14.4" customHeight="1" x14ac:dyDescent="0.3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25"/>
      <c r="U108" s="26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25"/>
      <c r="AZ108" s="26"/>
      <c r="BA108" s="195" t="s">
        <v>139</v>
      </c>
      <c r="BB108" s="58" t="s">
        <v>230</v>
      </c>
      <c r="BC108" s="59"/>
      <c r="BD108" s="59"/>
      <c r="BE108" s="60"/>
      <c r="BF108" s="10"/>
      <c r="BG108" s="10"/>
      <c r="BH108" s="10"/>
      <c r="BI108" s="5"/>
      <c r="BJ108" s="7"/>
      <c r="BK108" s="10"/>
      <c r="BL108" s="10"/>
      <c r="BM108" s="10"/>
      <c r="BN108" s="10"/>
      <c r="BO108" s="10"/>
      <c r="BP108" s="10"/>
      <c r="BQ108" s="5"/>
      <c r="BR108" s="7"/>
      <c r="BS108" s="10"/>
      <c r="BT108" s="10"/>
      <c r="BU108" s="10"/>
      <c r="BV108" s="10"/>
      <c r="BW108" s="10"/>
      <c r="BX108" s="10"/>
      <c r="BY108" s="5"/>
    </row>
    <row r="109" spans="1:77" ht="15" thickBot="1" x14ac:dyDescent="0.3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25"/>
      <c r="U109" s="26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25"/>
      <c r="AZ109" s="26"/>
      <c r="BA109" s="196"/>
      <c r="BB109" s="61"/>
      <c r="BC109" s="62"/>
      <c r="BD109" s="62"/>
      <c r="BE109" s="63"/>
      <c r="BF109" s="10"/>
      <c r="BG109" s="10"/>
      <c r="BH109" s="10"/>
      <c r="BI109" s="5"/>
      <c r="BJ109" s="7"/>
      <c r="BK109" s="10"/>
      <c r="BL109" s="10"/>
      <c r="BM109" s="10"/>
      <c r="BN109" s="10"/>
      <c r="BO109" s="10"/>
      <c r="BP109" s="10"/>
      <c r="BQ109" s="5"/>
      <c r="BR109" s="7"/>
      <c r="BS109" s="10"/>
      <c r="BT109" s="10"/>
      <c r="BU109" s="10"/>
      <c r="BV109" s="10"/>
      <c r="BW109" s="10"/>
      <c r="BX109" s="10"/>
      <c r="BY109" s="5"/>
    </row>
    <row r="110" spans="1:77" ht="14.4" customHeight="1" x14ac:dyDescent="0.3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25"/>
      <c r="U110" s="26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25"/>
      <c r="AZ110" s="26"/>
      <c r="BA110" s="195" t="s">
        <v>140</v>
      </c>
      <c r="BB110" s="7"/>
      <c r="BC110" s="10"/>
      <c r="BD110" s="10"/>
      <c r="BE110" s="10"/>
      <c r="BF110" s="10"/>
      <c r="BG110" s="10"/>
      <c r="BH110" s="10"/>
      <c r="BI110" s="5"/>
      <c r="BJ110" s="7"/>
      <c r="BK110" s="10"/>
      <c r="BL110" s="10"/>
      <c r="BM110" s="10"/>
      <c r="BN110" s="10"/>
      <c r="BO110" s="10"/>
      <c r="BP110" s="10"/>
      <c r="BQ110" s="5"/>
      <c r="BR110" s="392" t="s">
        <v>244</v>
      </c>
      <c r="BS110" s="393"/>
      <c r="BT110" s="393"/>
      <c r="BU110" s="457"/>
      <c r="BV110" s="10"/>
      <c r="BW110" s="10"/>
      <c r="BX110" s="10"/>
      <c r="BY110" s="5"/>
    </row>
    <row r="111" spans="1:77" ht="15" thickBot="1" x14ac:dyDescent="0.3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27"/>
      <c r="U111" s="28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27"/>
      <c r="AZ111" s="28"/>
      <c r="BA111" s="196"/>
      <c r="BB111" s="8"/>
      <c r="BC111" s="11"/>
      <c r="BD111" s="11"/>
      <c r="BE111" s="11"/>
      <c r="BF111" s="11"/>
      <c r="BG111" s="11"/>
      <c r="BH111" s="11"/>
      <c r="BI111" s="4"/>
      <c r="BJ111" s="8"/>
      <c r="BK111" s="11"/>
      <c r="BL111" s="11"/>
      <c r="BM111" s="11"/>
      <c r="BN111" s="11"/>
      <c r="BO111" s="11"/>
      <c r="BP111" s="11"/>
      <c r="BQ111" s="4"/>
      <c r="BR111" s="394"/>
      <c r="BS111" s="395"/>
      <c r="BT111" s="395"/>
      <c r="BU111" s="458"/>
      <c r="BV111" s="11"/>
      <c r="BW111" s="11"/>
      <c r="BX111" s="11"/>
      <c r="BY111" s="4"/>
    </row>
    <row r="113" ht="14.4" customHeight="1" x14ac:dyDescent="0.3"/>
    <row r="116" ht="14.4" customHeight="1" x14ac:dyDescent="0.3"/>
  </sheetData>
  <mergeCells count="391">
    <mergeCell ref="BT100:BU101"/>
    <mergeCell ref="BT104:BU105"/>
    <mergeCell ref="BR96:BS99"/>
    <mergeCell ref="BR100:BS103"/>
    <mergeCell ref="BR104:BS107"/>
    <mergeCell ref="BR110:BU111"/>
    <mergeCell ref="B35:D49"/>
    <mergeCell ref="BL70:BM73"/>
    <mergeCell ref="BJ74:BK77"/>
    <mergeCell ref="BR74:BS77"/>
    <mergeCell ref="BR78:BS81"/>
    <mergeCell ref="AU102:AX103"/>
    <mergeCell ref="AE104:AH105"/>
    <mergeCell ref="P26:S26"/>
    <mergeCell ref="P27:S27"/>
    <mergeCell ref="BA104:BA107"/>
    <mergeCell ref="Z34:Z37"/>
    <mergeCell ref="AA34:AB37"/>
    <mergeCell ref="AC34:AD37"/>
    <mergeCell ref="BJ46:BQ47"/>
    <mergeCell ref="BR46:BY47"/>
    <mergeCell ref="BJ68:BQ69"/>
    <mergeCell ref="BR68:BY69"/>
    <mergeCell ref="BJ90:BQ91"/>
    <mergeCell ref="BR90:BY91"/>
    <mergeCell ref="BA48:BA51"/>
    <mergeCell ref="BA52:BA55"/>
    <mergeCell ref="BA70:BA73"/>
    <mergeCell ref="BT74:BU77"/>
    <mergeCell ref="BR70:BS73"/>
    <mergeCell ref="BJ86:BM87"/>
    <mergeCell ref="BA108:BA109"/>
    <mergeCell ref="BA110:BA111"/>
    <mergeCell ref="BB46:BI47"/>
    <mergeCell ref="BA92:BA95"/>
    <mergeCell ref="BA96:BA99"/>
    <mergeCell ref="BA100:BA103"/>
    <mergeCell ref="AI52:AJ55"/>
    <mergeCell ref="AM40:AN43"/>
    <mergeCell ref="AO40:AP43"/>
    <mergeCell ref="AQ40:AR43"/>
    <mergeCell ref="AS40:AT43"/>
    <mergeCell ref="AM44:AN47"/>
    <mergeCell ref="AO44:AP47"/>
    <mergeCell ref="AQ44:AR47"/>
    <mergeCell ref="AM48:AN51"/>
    <mergeCell ref="BB68:BI69"/>
    <mergeCell ref="BB90:BI91"/>
    <mergeCell ref="BA74:BA77"/>
    <mergeCell ref="BA78:BA81"/>
    <mergeCell ref="BA82:BA85"/>
    <mergeCell ref="BA86:BA87"/>
    <mergeCell ref="BA88:BA89"/>
    <mergeCell ref="BA90:BA91"/>
    <mergeCell ref="BA46:BA47"/>
    <mergeCell ref="BJ70:BK73"/>
    <mergeCell ref="BJ78:BK81"/>
    <mergeCell ref="BN86:BQ87"/>
    <mergeCell ref="H40:O41"/>
    <mergeCell ref="H42:I42"/>
    <mergeCell ref="J42:K42"/>
    <mergeCell ref="L42:M42"/>
    <mergeCell ref="N42:O42"/>
    <mergeCell ref="AA52:AB55"/>
    <mergeCell ref="AC52:AD55"/>
    <mergeCell ref="AE52:AF55"/>
    <mergeCell ref="AG52:AH55"/>
    <mergeCell ref="Z40:Z43"/>
    <mergeCell ref="AA40:AB43"/>
    <mergeCell ref="AC40:AD43"/>
    <mergeCell ref="BJ44:BM45"/>
    <mergeCell ref="BB38:BC41"/>
    <mergeCell ref="BF42:BI42"/>
    <mergeCell ref="BB44:BE45"/>
    <mergeCell ref="BF43:BI43"/>
    <mergeCell ref="AG66:AH69"/>
    <mergeCell ref="AE66:AF69"/>
    <mergeCell ref="Z44:Z47"/>
    <mergeCell ref="BB48:BC51"/>
    <mergeCell ref="T10:U11"/>
    <mergeCell ref="T12:U13"/>
    <mergeCell ref="AE40:AF43"/>
    <mergeCell ref="AG40:AH43"/>
    <mergeCell ref="AI40:AJ43"/>
    <mergeCell ref="BA56:BA59"/>
    <mergeCell ref="BA60:BA63"/>
    <mergeCell ref="BA64:BA65"/>
    <mergeCell ref="AU26:AV29"/>
    <mergeCell ref="AO30:AP33"/>
    <mergeCell ref="AO34:AP37"/>
    <mergeCell ref="AQ34:AR37"/>
    <mergeCell ref="AM30:AN33"/>
    <mergeCell ref="AM34:AN37"/>
    <mergeCell ref="AO26:AP29"/>
    <mergeCell ref="AQ26:AR29"/>
    <mergeCell ref="AS26:AT29"/>
    <mergeCell ref="BA30:BA33"/>
    <mergeCell ref="BA34:BA37"/>
    <mergeCell ref="BA38:BA41"/>
    <mergeCell ref="BA42:BA43"/>
    <mergeCell ref="BA44:BA45"/>
    <mergeCell ref="AE34:AF37"/>
    <mergeCell ref="AU22:AV25"/>
    <mergeCell ref="V6:Y7"/>
    <mergeCell ref="R14:R16"/>
    <mergeCell ref="Z38:Z39"/>
    <mergeCell ref="AA38:AL39"/>
    <mergeCell ref="F12:G21"/>
    <mergeCell ref="F4:G4"/>
    <mergeCell ref="G8:G11"/>
    <mergeCell ref="V4:Y5"/>
    <mergeCell ref="H2:O4"/>
    <mergeCell ref="P2:Q4"/>
    <mergeCell ref="F5:G5"/>
    <mergeCell ref="F8:F9"/>
    <mergeCell ref="R2:R4"/>
    <mergeCell ref="S2:S4"/>
    <mergeCell ref="V2:Y3"/>
    <mergeCell ref="F6:G6"/>
    <mergeCell ref="F7:G7"/>
    <mergeCell ref="F2:G2"/>
    <mergeCell ref="F3:G3"/>
    <mergeCell ref="H5:O6"/>
    <mergeCell ref="H7:I7"/>
    <mergeCell ref="L7:M7"/>
    <mergeCell ref="T5:U7"/>
    <mergeCell ref="T8:U9"/>
    <mergeCell ref="L24:M24"/>
    <mergeCell ref="J24:K24"/>
    <mergeCell ref="H24:I24"/>
    <mergeCell ref="H22:O23"/>
    <mergeCell ref="AG22:AH25"/>
    <mergeCell ref="AG12:AH15"/>
    <mergeCell ref="AA20:AL21"/>
    <mergeCell ref="Q21:R21"/>
    <mergeCell ref="N24:O24"/>
    <mergeCell ref="T14:U15"/>
    <mergeCell ref="AE16:AF19"/>
    <mergeCell ref="AC12:AD15"/>
    <mergeCell ref="P24:S24"/>
    <mergeCell ref="P25:S25"/>
    <mergeCell ref="V17:Y17"/>
    <mergeCell ref="J7:K7"/>
    <mergeCell ref="AE12:AF15"/>
    <mergeCell ref="AC22:AD25"/>
    <mergeCell ref="V8:Y9"/>
    <mergeCell ref="Z20:Z21"/>
    <mergeCell ref="Z22:Z25"/>
    <mergeCell ref="P22:S22"/>
    <mergeCell ref="P23:S23"/>
    <mergeCell ref="AI22:AJ25"/>
    <mergeCell ref="P11:Q13"/>
    <mergeCell ref="R11:R13"/>
    <mergeCell ref="S11:S13"/>
    <mergeCell ref="AA22:AB25"/>
    <mergeCell ref="AE22:AF25"/>
    <mergeCell ref="N7:O7"/>
    <mergeCell ref="P14:Q16"/>
    <mergeCell ref="S14:S16"/>
    <mergeCell ref="V10:Y11"/>
    <mergeCell ref="P8:Q10"/>
    <mergeCell ref="S8:S10"/>
    <mergeCell ref="R8:R10"/>
    <mergeCell ref="P5:Q7"/>
    <mergeCell ref="S5:S7"/>
    <mergeCell ref="R5:R7"/>
    <mergeCell ref="Z2:Z3"/>
    <mergeCell ref="Z4:Z7"/>
    <mergeCell ref="Z8:Z11"/>
    <mergeCell ref="Z12:Z15"/>
    <mergeCell ref="Z16:Z19"/>
    <mergeCell ref="AA4:AB7"/>
    <mergeCell ref="AE4:AF7"/>
    <mergeCell ref="AC4:AD7"/>
    <mergeCell ref="AA16:AB19"/>
    <mergeCell ref="AC16:AD19"/>
    <mergeCell ref="AA8:AB11"/>
    <mergeCell ref="AA12:AB15"/>
    <mergeCell ref="AC8:AD11"/>
    <mergeCell ref="AE8:AF11"/>
    <mergeCell ref="AA2:AL3"/>
    <mergeCell ref="AY2:AZ2"/>
    <mergeCell ref="T2:U2"/>
    <mergeCell ref="P18:S19"/>
    <mergeCell ref="P20:S20"/>
    <mergeCell ref="Z66:Z69"/>
    <mergeCell ref="AA66:AB69"/>
    <mergeCell ref="AC66:AD69"/>
    <mergeCell ref="Z70:Z73"/>
    <mergeCell ref="AC70:AD73"/>
    <mergeCell ref="AE70:AF73"/>
    <mergeCell ref="Z56:Z57"/>
    <mergeCell ref="AA56:AL57"/>
    <mergeCell ref="Z58:Z61"/>
    <mergeCell ref="AA58:AB61"/>
    <mergeCell ref="AC58:AD61"/>
    <mergeCell ref="AE58:AF61"/>
    <mergeCell ref="AG58:AH61"/>
    <mergeCell ref="Z62:Z65"/>
    <mergeCell ref="AA62:AB65"/>
    <mergeCell ref="AA70:AB73"/>
    <mergeCell ref="AC62:AD65"/>
    <mergeCell ref="AE62:AF65"/>
    <mergeCell ref="AG62:AH65"/>
    <mergeCell ref="AS44:AT47"/>
    <mergeCell ref="BJ2:BQ3"/>
    <mergeCell ref="BR2:BY3"/>
    <mergeCell ref="BA2:BA3"/>
    <mergeCell ref="BA4:BA7"/>
    <mergeCell ref="BA8:BA11"/>
    <mergeCell ref="BA12:BA15"/>
    <mergeCell ref="BA16:BA19"/>
    <mergeCell ref="BB4:BC7"/>
    <mergeCell ref="BD4:BE7"/>
    <mergeCell ref="BB8:BC11"/>
    <mergeCell ref="BD8:BE11"/>
    <mergeCell ref="BF4:BG7"/>
    <mergeCell ref="BB12:BC15"/>
    <mergeCell ref="BF8:BG11"/>
    <mergeCell ref="BB2:BI3"/>
    <mergeCell ref="BR24:BY25"/>
    <mergeCell ref="BR26:BS29"/>
    <mergeCell ref="BR34:BS37"/>
    <mergeCell ref="BR38:BS41"/>
    <mergeCell ref="BJ4:BK7"/>
    <mergeCell ref="BJ8:BK11"/>
    <mergeCell ref="BJ16:BK19"/>
    <mergeCell ref="BR4:BS7"/>
    <mergeCell ref="BR42:BU43"/>
    <mergeCell ref="BV42:BY43"/>
    <mergeCell ref="BR8:BS11"/>
    <mergeCell ref="BR12:BS15"/>
    <mergeCell ref="BR20:BU21"/>
    <mergeCell ref="BR22:BU23"/>
    <mergeCell ref="BJ34:BK37"/>
    <mergeCell ref="BL8:BM9"/>
    <mergeCell ref="BJ12:BK13"/>
    <mergeCell ref="BN8:BO9"/>
    <mergeCell ref="BJ24:BQ25"/>
    <mergeCell ref="BJ26:BK29"/>
    <mergeCell ref="AG26:AH29"/>
    <mergeCell ref="AC30:AD33"/>
    <mergeCell ref="AE30:AF33"/>
    <mergeCell ref="AG30:AH33"/>
    <mergeCell ref="BA20:BA21"/>
    <mergeCell ref="BA22:BA23"/>
    <mergeCell ref="BJ30:BK33"/>
    <mergeCell ref="BL30:BM33"/>
    <mergeCell ref="Z26:Z29"/>
    <mergeCell ref="Z30:Z33"/>
    <mergeCell ref="AM22:AN25"/>
    <mergeCell ref="AO22:AP25"/>
    <mergeCell ref="AQ22:AR25"/>
    <mergeCell ref="AS22:AT25"/>
    <mergeCell ref="AM26:AN29"/>
    <mergeCell ref="BA24:BA25"/>
    <mergeCell ref="BA26:BA29"/>
    <mergeCell ref="AE26:AF29"/>
    <mergeCell ref="BD60:BE63"/>
    <mergeCell ref="BA66:BA67"/>
    <mergeCell ref="BA68:BA69"/>
    <mergeCell ref="AU96:AX97"/>
    <mergeCell ref="Z96:Z101"/>
    <mergeCell ref="AU76:AV79"/>
    <mergeCell ref="AW76:AX79"/>
    <mergeCell ref="Z74:Z75"/>
    <mergeCell ref="Z84:Z87"/>
    <mergeCell ref="Z88:Z91"/>
    <mergeCell ref="Z92:Z95"/>
    <mergeCell ref="AA96:AD98"/>
    <mergeCell ref="AE96:AH97"/>
    <mergeCell ref="AA76:AB79"/>
    <mergeCell ref="AI96:AL97"/>
    <mergeCell ref="AM96:AP97"/>
    <mergeCell ref="AC76:AD79"/>
    <mergeCell ref="AA74:AX75"/>
    <mergeCell ref="AA84:AB87"/>
    <mergeCell ref="AE76:AF79"/>
    <mergeCell ref="AQ96:AT97"/>
    <mergeCell ref="AA88:AB91"/>
    <mergeCell ref="Z102:Z107"/>
    <mergeCell ref="AE98:AH99"/>
    <mergeCell ref="AM76:AN79"/>
    <mergeCell ref="AK76:AL79"/>
    <mergeCell ref="AA102:AD104"/>
    <mergeCell ref="AE102:AH103"/>
    <mergeCell ref="AI102:AL103"/>
    <mergeCell ref="AM102:AP103"/>
    <mergeCell ref="BB52:BC55"/>
    <mergeCell ref="BB60:BC63"/>
    <mergeCell ref="AO76:AP79"/>
    <mergeCell ref="AI98:AL99"/>
    <mergeCell ref="AQ76:AR79"/>
    <mergeCell ref="AM98:AP99"/>
    <mergeCell ref="AE84:AF87"/>
    <mergeCell ref="AG84:AH87"/>
    <mergeCell ref="AI84:AJ87"/>
    <mergeCell ref="Z76:Z83"/>
    <mergeCell ref="AA80:AB83"/>
    <mergeCell ref="AC84:AD87"/>
    <mergeCell ref="AI76:AJ79"/>
    <mergeCell ref="AC92:AD95"/>
    <mergeCell ref="AE92:AF95"/>
    <mergeCell ref="AG92:AH95"/>
    <mergeCell ref="AI92:AJ95"/>
    <mergeCell ref="AC88:AD91"/>
    <mergeCell ref="AE88:AF91"/>
    <mergeCell ref="AG88:AH91"/>
    <mergeCell ref="AI88:AJ91"/>
    <mergeCell ref="AA92:AB95"/>
    <mergeCell ref="AQ102:AT103"/>
    <mergeCell ref="AM2:AX3"/>
    <mergeCell ref="AM20:AX21"/>
    <mergeCell ref="AM38:AX39"/>
    <mergeCell ref="AA44:AB47"/>
    <mergeCell ref="AC44:AD47"/>
    <mergeCell ref="AE44:AF47"/>
    <mergeCell ref="AG44:AH47"/>
    <mergeCell ref="AI44:AJ47"/>
    <mergeCell ref="AU40:AV43"/>
    <mergeCell ref="AU16:AV19"/>
    <mergeCell ref="AG8:AH11"/>
    <mergeCell ref="AK8:AL11"/>
    <mergeCell ref="AI8:AJ11"/>
    <mergeCell ref="AM4:AN7"/>
    <mergeCell ref="AO4:AP7"/>
    <mergeCell ref="AQ4:AR7"/>
    <mergeCell ref="AS4:AT7"/>
    <mergeCell ref="AM8:AN11"/>
    <mergeCell ref="AM12:AN15"/>
    <mergeCell ref="AM16:AN19"/>
    <mergeCell ref="AA26:AB29"/>
    <mergeCell ref="AA30:AB33"/>
    <mergeCell ref="AC26:AD29"/>
    <mergeCell ref="B2:D4"/>
    <mergeCell ref="B5:D5"/>
    <mergeCell ref="B50:D62"/>
    <mergeCell ref="BJ48:BK51"/>
    <mergeCell ref="BL48:BM51"/>
    <mergeCell ref="BJ52:BK55"/>
    <mergeCell ref="BJ56:BK59"/>
    <mergeCell ref="BL56:BM59"/>
    <mergeCell ref="BR64:BU65"/>
    <mergeCell ref="B8:D10"/>
    <mergeCell ref="B29:D34"/>
    <mergeCell ref="AY3:AZ3"/>
    <mergeCell ref="T3:U3"/>
    <mergeCell ref="AS52:AT55"/>
    <mergeCell ref="AO8:AP11"/>
    <mergeCell ref="AQ8:AR11"/>
    <mergeCell ref="AS8:AT11"/>
    <mergeCell ref="AO12:AP15"/>
    <mergeCell ref="AQ12:AR15"/>
    <mergeCell ref="AS12:AT15"/>
    <mergeCell ref="AO16:AP19"/>
    <mergeCell ref="AQ16:AR19"/>
    <mergeCell ref="AS16:AT19"/>
    <mergeCell ref="B11:D19"/>
    <mergeCell ref="B6:D7"/>
    <mergeCell ref="B20:D21"/>
    <mergeCell ref="BR66:BU67"/>
    <mergeCell ref="BV66:BY67"/>
    <mergeCell ref="BB70:BC73"/>
    <mergeCell ref="BB74:BC77"/>
    <mergeCell ref="BB78:BC81"/>
    <mergeCell ref="BB82:BC85"/>
    <mergeCell ref="BV64:BY65"/>
    <mergeCell ref="AG76:AH79"/>
    <mergeCell ref="AS76:AT79"/>
    <mergeCell ref="AW26:AX29"/>
    <mergeCell ref="Z48:Z51"/>
    <mergeCell ref="AA48:AB51"/>
    <mergeCell ref="AC48:AD51"/>
    <mergeCell ref="Z52:Z55"/>
    <mergeCell ref="AO48:AP51"/>
    <mergeCell ref="AM52:AN55"/>
    <mergeCell ref="AO52:AP55"/>
    <mergeCell ref="AQ52:AR55"/>
    <mergeCell ref="AI62:AJ65"/>
    <mergeCell ref="BB42:BE43"/>
    <mergeCell ref="BB24:BI25"/>
    <mergeCell ref="BN96:BO99"/>
    <mergeCell ref="BB108:BE109"/>
    <mergeCell ref="BB92:BC95"/>
    <mergeCell ref="BB100:BC103"/>
    <mergeCell ref="BD100:BE103"/>
    <mergeCell ref="BB104:BC107"/>
    <mergeCell ref="BJ92:BK95"/>
    <mergeCell ref="BJ96:BK99"/>
    <mergeCell ref="BJ100:BK103"/>
    <mergeCell ref="BL96:BM99"/>
  </mergeCells>
  <phoneticPr fontId="3" type="noConversion"/>
  <conditionalFormatting sqref="R2:R4">
    <cfRule type="expression" dxfId="98" priority="130">
      <formula>OR(AND($P$27=0,$R$2=12),AND($R$2=9,$P$27=1))</formula>
    </cfRule>
    <cfRule type="expression" dxfId="97" priority="131">
      <formula>OR(AND($R$2&gt;12,$P$27=0),AND($P$27=1,$R$2&gt;9))</formula>
    </cfRule>
  </conditionalFormatting>
  <conditionalFormatting sqref="R5:R7">
    <cfRule type="expression" dxfId="96" priority="129">
      <formula>OR(AND($R$5=48, $P$27=0),AND($R$5=60,$P$27=1))</formula>
    </cfRule>
  </conditionalFormatting>
  <conditionalFormatting sqref="R8:R10">
    <cfRule type="expression" dxfId="95" priority="126">
      <formula>$R$8&gt;$X$18</formula>
    </cfRule>
    <cfRule type="expression" dxfId="94" priority="128">
      <formula>$R$8=$X$18</formula>
    </cfRule>
  </conditionalFormatting>
  <conditionalFormatting sqref="R11:R13">
    <cfRule type="expression" dxfId="93" priority="119">
      <formula>AND($R$11&gt;18,$Q$21=1)</formula>
    </cfRule>
    <cfRule type="expression" dxfId="92" priority="120">
      <formula>AND($R$11=18,$Q$21=1)</formula>
    </cfRule>
  </conditionalFormatting>
  <conditionalFormatting sqref="H40:O57">
    <cfRule type="expression" dxfId="91" priority="69">
      <formula>AND($P$23=0,$P$25=0)</formula>
    </cfRule>
    <cfRule type="expression" dxfId="90" priority="118">
      <formula>AND($P$23=0,$P$25=1)</formula>
    </cfRule>
  </conditionalFormatting>
  <conditionalFormatting sqref="Q28:R29 A10:A24 A5:A8 D1 B8:D10 D60:G111 D54:D62 D59:E59">
    <cfRule type="expression" dxfId="89" priority="117">
      <formula>$P$25=0</formula>
    </cfRule>
  </conditionalFormatting>
  <conditionalFormatting sqref="Q30:R30">
    <cfRule type="expression" dxfId="88" priority="116">
      <formula>$P$25=0</formula>
    </cfRule>
  </conditionalFormatting>
  <conditionalFormatting sqref="P28:P39">
    <cfRule type="expression" dxfId="87" priority="111">
      <formula>$P$25=0</formula>
    </cfRule>
  </conditionalFormatting>
  <conditionalFormatting sqref="S28:S39">
    <cfRule type="expression" dxfId="86" priority="110">
      <formula>$P$25=0</formula>
    </cfRule>
  </conditionalFormatting>
  <conditionalFormatting sqref="Q31:R39">
    <cfRule type="expression" dxfId="85" priority="109">
      <formula>$P$25=0</formula>
    </cfRule>
  </conditionalFormatting>
  <conditionalFormatting sqref="Q41:R43">
    <cfRule type="expression" dxfId="84" priority="108">
      <formula>$P$25=0</formula>
    </cfRule>
  </conditionalFormatting>
  <conditionalFormatting sqref="Q44:R44">
    <cfRule type="expression" dxfId="83" priority="107">
      <formula>$P$25=0</formula>
    </cfRule>
  </conditionalFormatting>
  <conditionalFormatting sqref="P40">
    <cfRule type="expression" dxfId="82" priority="106">
      <formula>$P$25=0</formula>
    </cfRule>
  </conditionalFormatting>
  <conditionalFormatting sqref="Q40">
    <cfRule type="expression" dxfId="81" priority="105">
      <formula>$P$25=0</formula>
    </cfRule>
  </conditionalFormatting>
  <conditionalFormatting sqref="R40">
    <cfRule type="expression" dxfId="80" priority="104">
      <formula>$P$25=0</formula>
    </cfRule>
  </conditionalFormatting>
  <conditionalFormatting sqref="S40">
    <cfRule type="expression" dxfId="79" priority="103">
      <formula>$P$25=0</formula>
    </cfRule>
  </conditionalFormatting>
  <conditionalFormatting sqref="P41:P53">
    <cfRule type="expression" dxfId="78" priority="102">
      <formula>$P$25=0</formula>
    </cfRule>
  </conditionalFormatting>
  <conditionalFormatting sqref="S41:S53">
    <cfRule type="expression" dxfId="77" priority="101">
      <formula>$P$25=0</formula>
    </cfRule>
  </conditionalFormatting>
  <conditionalFormatting sqref="Q45:R53">
    <cfRule type="expression" dxfId="76" priority="100">
      <formula>$P$25=0</formula>
    </cfRule>
  </conditionalFormatting>
  <conditionalFormatting sqref="Q55:R57">
    <cfRule type="expression" dxfId="75" priority="99">
      <formula>$P$25=0</formula>
    </cfRule>
  </conditionalFormatting>
  <conditionalFormatting sqref="Q58:R58">
    <cfRule type="expression" dxfId="74" priority="98">
      <formula>$P$25=0</formula>
    </cfRule>
  </conditionalFormatting>
  <conditionalFormatting sqref="P54">
    <cfRule type="expression" dxfId="73" priority="97">
      <formula>$P$25=0</formula>
    </cfRule>
  </conditionalFormatting>
  <conditionalFormatting sqref="Q54">
    <cfRule type="expression" dxfId="72" priority="96">
      <formula>$P$25=0</formula>
    </cfRule>
  </conditionalFormatting>
  <conditionalFormatting sqref="R54">
    <cfRule type="expression" dxfId="71" priority="95">
      <formula>$P$25=0</formula>
    </cfRule>
  </conditionalFormatting>
  <conditionalFormatting sqref="S54">
    <cfRule type="expression" dxfId="70" priority="94">
      <formula>$P$25=0</formula>
    </cfRule>
  </conditionalFormatting>
  <conditionalFormatting sqref="P55:P67">
    <cfRule type="expression" dxfId="69" priority="93">
      <formula>$P$25=0</formula>
    </cfRule>
  </conditionalFormatting>
  <conditionalFormatting sqref="S55:S67">
    <cfRule type="expression" dxfId="68" priority="92">
      <formula>$P$25=0</formula>
    </cfRule>
  </conditionalFormatting>
  <conditionalFormatting sqref="Q59:R67">
    <cfRule type="expression" dxfId="67" priority="91">
      <formula>$P$25=0</formula>
    </cfRule>
  </conditionalFormatting>
  <conditionalFormatting sqref="Q69:R71">
    <cfRule type="expression" dxfId="66" priority="90">
      <formula>$P$25=0</formula>
    </cfRule>
  </conditionalFormatting>
  <conditionalFormatting sqref="Q72:R72">
    <cfRule type="expression" dxfId="65" priority="89">
      <formula>$P$25=0</formula>
    </cfRule>
  </conditionalFormatting>
  <conditionalFormatting sqref="P68">
    <cfRule type="expression" dxfId="64" priority="88">
      <formula>$P$25=0</formula>
    </cfRule>
  </conditionalFormatting>
  <conditionalFormatting sqref="Q68">
    <cfRule type="expression" dxfId="63" priority="87">
      <formula>$P$25=0</formula>
    </cfRule>
  </conditionalFormatting>
  <conditionalFormatting sqref="R68">
    <cfRule type="expression" dxfId="62" priority="86">
      <formula>$P$25=0</formula>
    </cfRule>
  </conditionalFormatting>
  <conditionalFormatting sqref="S68">
    <cfRule type="expression" dxfId="61" priority="85">
      <formula>$P$25=0</formula>
    </cfRule>
  </conditionalFormatting>
  <conditionalFormatting sqref="P69:P81">
    <cfRule type="expression" dxfId="60" priority="84">
      <formula>$P$25=0</formula>
    </cfRule>
  </conditionalFormatting>
  <conditionalFormatting sqref="S69:S81">
    <cfRule type="expression" dxfId="59" priority="83">
      <formula>$P$25=0</formula>
    </cfRule>
  </conditionalFormatting>
  <conditionalFormatting sqref="Q73:R81">
    <cfRule type="expression" dxfId="58" priority="82">
      <formula>$P$25=0</formula>
    </cfRule>
  </conditionalFormatting>
  <conditionalFormatting sqref="V12:Y16 V18:Y111 V17">
    <cfRule type="expression" dxfId="57" priority="81">
      <formula>$P$25=0</formula>
    </cfRule>
  </conditionalFormatting>
  <conditionalFormatting sqref="P17">
    <cfRule type="expression" dxfId="56" priority="80">
      <formula>$P$25=0</formula>
    </cfRule>
  </conditionalFormatting>
  <conditionalFormatting sqref="Q17">
    <cfRule type="expression" dxfId="55" priority="79">
      <formula>$P$25=0</formula>
    </cfRule>
  </conditionalFormatting>
  <conditionalFormatting sqref="R17">
    <cfRule type="expression" dxfId="54" priority="78">
      <formula>$P$25=0</formula>
    </cfRule>
  </conditionalFormatting>
  <conditionalFormatting sqref="S17">
    <cfRule type="expression" dxfId="53" priority="77">
      <formula>$P$25=0</formula>
    </cfRule>
  </conditionalFormatting>
  <conditionalFormatting sqref="E22:G44">
    <cfRule type="expression" dxfId="52" priority="76">
      <formula>$P$25=0</formula>
    </cfRule>
  </conditionalFormatting>
  <conditionalFormatting sqref="H82:S111">
    <cfRule type="expression" dxfId="51" priority="75">
      <formula>$P$25=0</formula>
    </cfRule>
  </conditionalFormatting>
  <conditionalFormatting sqref="H58:O81">
    <cfRule type="expression" dxfId="50" priority="74">
      <formula>$P$25=0</formula>
    </cfRule>
  </conditionalFormatting>
  <conditionalFormatting sqref="D23:D26">
    <cfRule type="expression" dxfId="49" priority="73">
      <formula>$P$25=0</formula>
    </cfRule>
  </conditionalFormatting>
  <conditionalFormatting sqref="E1:G1">
    <cfRule type="expression" dxfId="48" priority="72">
      <formula>$P$25=0</formula>
    </cfRule>
  </conditionalFormatting>
  <conditionalFormatting sqref="H1:BY1">
    <cfRule type="expression" dxfId="47" priority="70">
      <formula>$P$25=0</formula>
    </cfRule>
  </conditionalFormatting>
  <conditionalFormatting sqref="R14:R16">
    <cfRule type="expression" dxfId="46" priority="68">
      <formula>$R$14=30</formula>
    </cfRule>
  </conditionalFormatting>
  <conditionalFormatting sqref="B1:C1">
    <cfRule type="expression" dxfId="45" priority="67">
      <formula>$P$25=0</formula>
    </cfRule>
  </conditionalFormatting>
  <conditionalFormatting sqref="A1">
    <cfRule type="expression" dxfId="44" priority="64">
      <formula>$P$25=0</formula>
    </cfRule>
  </conditionalFormatting>
  <conditionalFormatting sqref="B8">
    <cfRule type="expression" dxfId="43" priority="63">
      <formula>$P$25=0</formula>
    </cfRule>
  </conditionalFormatting>
  <conditionalFormatting sqref="B50">
    <cfRule type="expression" dxfId="42" priority="59">
      <formula>$P$25=0</formula>
    </cfRule>
  </conditionalFormatting>
  <conditionalFormatting sqref="A25:A53">
    <cfRule type="expression" dxfId="41" priority="57">
      <formula>$P$25=0</formula>
    </cfRule>
  </conditionalFormatting>
  <conditionalFormatting sqref="C75:C103">
    <cfRule type="expression" dxfId="40" priority="55">
      <formula>$P$25=0</formula>
    </cfRule>
  </conditionalFormatting>
  <conditionalFormatting sqref="C63:C74">
    <cfRule type="expression" dxfId="39" priority="54">
      <formula>$P$25=0</formula>
    </cfRule>
  </conditionalFormatting>
  <conditionalFormatting sqref="B75:B103">
    <cfRule type="expression" dxfId="38" priority="53">
      <formula>$P$25=0</formula>
    </cfRule>
  </conditionalFormatting>
  <conditionalFormatting sqref="B63:B74">
    <cfRule type="expression" dxfId="37" priority="52">
      <formula>$P$25=0</formula>
    </cfRule>
  </conditionalFormatting>
  <conditionalFormatting sqref="A75:A103">
    <cfRule type="expression" dxfId="36" priority="51">
      <formula>$P$25=0</formula>
    </cfRule>
  </conditionalFormatting>
  <conditionalFormatting sqref="A54:A74">
    <cfRule type="expression" dxfId="35" priority="50">
      <formula>$P$25=0</formula>
    </cfRule>
  </conditionalFormatting>
  <conditionalFormatting sqref="C104:C108">
    <cfRule type="expression" dxfId="34" priority="49">
      <formula>$P$25=0</formula>
    </cfRule>
  </conditionalFormatting>
  <conditionalFormatting sqref="B104:B108">
    <cfRule type="expression" dxfId="33" priority="48">
      <formula>$P$25=0</formula>
    </cfRule>
  </conditionalFormatting>
  <conditionalFormatting sqref="A104:A108">
    <cfRule type="expression" dxfId="32" priority="47">
      <formula>$P$25=0</formula>
    </cfRule>
  </conditionalFormatting>
  <conditionalFormatting sqref="C109:C111">
    <cfRule type="expression" dxfId="31" priority="46">
      <formula>$P$25=0</formula>
    </cfRule>
  </conditionalFormatting>
  <conditionalFormatting sqref="B109:B111">
    <cfRule type="expression" dxfId="30" priority="45">
      <formula>$P$25=0</formula>
    </cfRule>
  </conditionalFormatting>
  <conditionalFormatting sqref="A109:A111">
    <cfRule type="expression" dxfId="29" priority="44">
      <formula>$P$25=0</formula>
    </cfRule>
  </conditionalFormatting>
  <conditionalFormatting sqref="E2">
    <cfRule type="expression" dxfId="28" priority="43">
      <formula>$P$25=0</formula>
    </cfRule>
  </conditionalFormatting>
  <conditionalFormatting sqref="E3">
    <cfRule type="expression" dxfId="27" priority="42">
      <formula>$P$25=0</formula>
    </cfRule>
  </conditionalFormatting>
  <conditionalFormatting sqref="E4">
    <cfRule type="expression" dxfId="26" priority="41">
      <formula>$P$25=0</formula>
    </cfRule>
  </conditionalFormatting>
  <conditionalFormatting sqref="E5">
    <cfRule type="expression" dxfId="25" priority="40">
      <formula>$P$25=0</formula>
    </cfRule>
  </conditionalFormatting>
  <conditionalFormatting sqref="E8">
    <cfRule type="expression" dxfId="24" priority="38">
      <formula>$P$25=0</formula>
    </cfRule>
  </conditionalFormatting>
  <conditionalFormatting sqref="E6">
    <cfRule type="expression" dxfId="23" priority="37">
      <formula>$P$25=0</formula>
    </cfRule>
  </conditionalFormatting>
  <conditionalFormatting sqref="E7">
    <cfRule type="expression" dxfId="22" priority="36">
      <formula>$P$25=0</formula>
    </cfRule>
  </conditionalFormatting>
  <conditionalFormatting sqref="E9">
    <cfRule type="expression" dxfId="21" priority="35">
      <formula>$P$25=0</formula>
    </cfRule>
  </conditionalFormatting>
  <conditionalFormatting sqref="E11">
    <cfRule type="expression" dxfId="20" priority="34">
      <formula>$P$25=0</formula>
    </cfRule>
  </conditionalFormatting>
  <conditionalFormatting sqref="E10">
    <cfRule type="expression" dxfId="19" priority="33">
      <formula>$P$25=0</formula>
    </cfRule>
  </conditionalFormatting>
  <conditionalFormatting sqref="E12">
    <cfRule type="expression" dxfId="18" priority="32">
      <formula>$P$25=0</formula>
    </cfRule>
  </conditionalFormatting>
  <conditionalFormatting sqref="E13:E20">
    <cfRule type="expression" dxfId="17" priority="31">
      <formula>$P$25=0</formula>
    </cfRule>
  </conditionalFormatting>
  <conditionalFormatting sqref="E21">
    <cfRule type="expression" dxfId="16" priority="30">
      <formula>$P$25=0</formula>
    </cfRule>
  </conditionalFormatting>
  <conditionalFormatting sqref="B23:B26">
    <cfRule type="expression" dxfId="15" priority="26">
      <formula>$P$25=0</formula>
    </cfRule>
  </conditionalFormatting>
  <conditionalFormatting sqref="C23:C26">
    <cfRule type="expression" dxfId="14" priority="24">
      <formula>$P$25=0</formula>
    </cfRule>
  </conditionalFormatting>
  <conditionalFormatting sqref="B29 B35">
    <cfRule type="expression" dxfId="13" priority="23">
      <formula>$P$25=0</formula>
    </cfRule>
  </conditionalFormatting>
  <conditionalFormatting sqref="B11">
    <cfRule type="expression" dxfId="12" priority="19">
      <formula>$P$25=0</formula>
    </cfRule>
  </conditionalFormatting>
  <conditionalFormatting sqref="A9">
    <cfRule type="expression" dxfId="11" priority="18">
      <formula>$P$25=0</formula>
    </cfRule>
  </conditionalFormatting>
  <conditionalFormatting sqref="A2">
    <cfRule type="expression" dxfId="10" priority="14">
      <formula>$P$25=0</formula>
    </cfRule>
  </conditionalFormatting>
  <conditionalFormatting sqref="A3">
    <cfRule type="expression" dxfId="9" priority="13">
      <formula>$P$25=0</formula>
    </cfRule>
  </conditionalFormatting>
  <conditionalFormatting sqref="A4">
    <cfRule type="expression" dxfId="8" priority="12">
      <formula>$P$25=0</formula>
    </cfRule>
  </conditionalFormatting>
  <conditionalFormatting sqref="W18:X18">
    <cfRule type="expression" dxfId="7" priority="8">
      <formula>$P$25=0</formula>
    </cfRule>
  </conditionalFormatting>
  <conditionalFormatting sqref="V17:Y17">
    <cfRule type="expression" dxfId="6" priority="7">
      <formula>$P$25=0</formula>
    </cfRule>
  </conditionalFormatting>
  <conditionalFormatting sqref="E45:E50">
    <cfRule type="expression" dxfId="5" priority="6">
      <formula>$P$25=0</formula>
    </cfRule>
  </conditionalFormatting>
  <conditionalFormatting sqref="E51:E52">
    <cfRule type="expression" dxfId="4" priority="5">
      <formula>$P$25=0</formula>
    </cfRule>
  </conditionalFormatting>
  <conditionalFormatting sqref="E53:E58">
    <cfRule type="expression" dxfId="3" priority="4">
      <formula>$P$25=0</formula>
    </cfRule>
  </conditionalFormatting>
  <conditionalFormatting sqref="F45:G49">
    <cfRule type="expression" dxfId="2" priority="3">
      <formula>$P$25=0</formula>
    </cfRule>
  </conditionalFormatting>
  <conditionalFormatting sqref="F50:G53">
    <cfRule type="expression" dxfId="1" priority="2">
      <formula>$P$25=0</formula>
    </cfRule>
  </conditionalFormatting>
  <conditionalFormatting sqref="F54:G59">
    <cfRule type="expression" dxfId="0" priority="1">
      <formula>$P$25=0</formula>
    </cfRule>
  </conditionalFormatting>
  <hyperlinks>
    <hyperlink ref="B20:D21" r:id="rId1" display="Quanto ao problema das Macros" xr:uid="{2514D349-873D-4EB5-A1EA-7DC90C18FBE7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Martim Bento</dc:creator>
  <cp:lastModifiedBy>Martim Bento</cp:lastModifiedBy>
  <dcterms:created xsi:type="dcterms:W3CDTF">2022-09-18T15:32:34Z</dcterms:created>
  <dcterms:modified xsi:type="dcterms:W3CDTF">2022-10-26T17:47:09Z</dcterms:modified>
</cp:coreProperties>
</file>